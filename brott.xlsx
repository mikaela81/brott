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wsl.localhost\Ubuntu\home\mikaela\data_science\brott\"/>
    </mc:Choice>
  </mc:AlternateContent>
  <xr:revisionPtr revIDLastSave="0" documentId="13_ncr:1_{F72C994C-391D-4F14-974C-1263B8950DFB}" xr6:coauthVersionLast="47" xr6:coauthVersionMax="47" xr10:uidLastSave="{00000000-0000-0000-0000-000000000000}"/>
  <bookViews>
    <workbookView xWindow="-108" yWindow="-108" windowWidth="23256" windowHeight="12456" firstSheet="1" activeTab="1" xr2:uid="{00000000-000D-0000-FFFF-FFFF00000000}"/>
  </bookViews>
  <sheets>
    <sheet name="Anmälda brott månad" sheetId="8" r:id="rId1"/>
    <sheet name="brott" sheetId="2" r:id="rId2"/>
    <sheet name="Blad3" sheetId="14" r:id="rId3"/>
    <sheet name="Blad1" sheetId="12" r:id="rId4"/>
    <sheet name="Blad2" sheetId="13" r:id="rId5"/>
    <sheet name="Senaste 12 månaderna" sheetId="3" r:id="rId6"/>
    <sheet name="Information" sheetId="9" r:id="rId7"/>
    <sheet name="Förändringar" sheetId="10" r:id="rId8"/>
    <sheet name="Förekomst av stora ärenden"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3" l="1"/>
  <c r="C32" i="12"/>
  <c r="G12" i="13"/>
  <c r="C19" i="13"/>
</calcChain>
</file>

<file path=xl/sharedStrings.xml><?xml version="1.0" encoding="utf-8"?>
<sst xmlns="http://schemas.openxmlformats.org/spreadsheetml/2006/main" count="5078" uniqueCount="977">
  <si>
    <t>Brottstyp</t>
  </si>
  <si>
    <t>Lagrum</t>
  </si>
  <si>
    <t>Förändring jämfört med motsvarande period året innan, i antal</t>
  </si>
  <si>
    <t>Förändring jämfört med motsvarande period året innan, i procent</t>
  </si>
  <si>
    <t>Tabell P1M a. Anmälda brott, efter brottsyp, samt jämförelse med motsvarande månad föregående år, preliminär statistik, i hela landet, december 2024.</t>
  </si>
  <si>
    <t>P1M c.  Anmälda brott, efter brottstyp, de senaste 12 månaderna, jämförelse med motsvarande period föregående år samt antal brott per 100 000 invånare, preliminär statistik, i hela landet, 2024</t>
  </si>
  <si>
    <t>SAMTLIGA BROTT</t>
  </si>
  <si>
    <t>Brott mot brottsbalken</t>
  </si>
  <si>
    <t>Brott mot brottsbalken, totalt</t>
  </si>
  <si>
    <t>BrB 3-7 kap. Brott mot person</t>
  </si>
  <si>
    <t>Brott mot person, totalt</t>
  </si>
  <si>
    <t>3 kap. Brott mot liv och hälsa</t>
  </si>
  <si>
    <t>Brott mot liv och hälsa, totalt</t>
  </si>
  <si>
    <t>3 kap. 1-2 § BrB Fullbordat mord och dråp</t>
  </si>
  <si>
    <t>Fullbordat mord och dråp, totalt</t>
  </si>
  <si>
    <t>Mot kvinna/flicka</t>
  </si>
  <si>
    <t>Mot kvinna/flicka, med användning av skjutvapen</t>
  </si>
  <si>
    <t>Mot kvinna/flicka, utan användning av skjutvapen</t>
  </si>
  <si>
    <t>Mot man/pojke</t>
  </si>
  <si>
    <t>Mot man/pojke, med användning av skjutvapen</t>
  </si>
  <si>
    <t>Mot man/pojke, utan användning av skjutvapen</t>
  </si>
  <si>
    <t>3 kap. 1, 2 § BrB Försök till mord eller dråp</t>
  </si>
  <si>
    <t>Försök till mord eller dråp, totalt</t>
  </si>
  <si>
    <t>Mot barn under 18 år</t>
  </si>
  <si>
    <t>Mot flicka under 18 år</t>
  </si>
  <si>
    <t>Mot pojke under 18 år</t>
  </si>
  <si>
    <t>Mot kvinna 18 år eller äldre</t>
  </si>
  <si>
    <t>Mot kvinna 18 år eller äldre, närstående genom parrelation</t>
  </si>
  <si>
    <t>Mot kvinna 18 år eller äldre, närstående genom släktskap/familj</t>
  </si>
  <si>
    <t>Mot kvinna 18 år eller äldre, annan sorts relation eller bekantskap</t>
  </si>
  <si>
    <t>Mot kvinna 18 år eller äldre, obekanta</t>
  </si>
  <si>
    <t>Mot man 18 år eller äldre</t>
  </si>
  <si>
    <t>Mot man 18 år eller äldre, närstående genom parrelation</t>
  </si>
  <si>
    <t>Mot man 18 år eller äldre, närstående genom släktskap/familj</t>
  </si>
  <si>
    <t>Mot man 18 år eller äldre, annan sorts relation eller bekantskap</t>
  </si>
  <si>
    <t>Mot man 18 år eller äldre, obekanta</t>
  </si>
  <si>
    <t>3 kap. 3 § BrB Barnadråp 3 §</t>
  </si>
  <si>
    <t>Barnadråp, totalt</t>
  </si>
  <si>
    <t>.</t>
  </si>
  <si>
    <t>3 kap. 5, 6 § BrB Misshandel inkl. grov</t>
  </si>
  <si>
    <t>Misshandel, totalt</t>
  </si>
  <si>
    <t>Mot barn 0-6 år</t>
  </si>
  <si>
    <t>Mot flicka 0-6 år</t>
  </si>
  <si>
    <t>Mot flicka 0-6 år, bekant med offret</t>
  </si>
  <si>
    <t>Mot flicka 0-6 år, bekant med offret, utomhus</t>
  </si>
  <si>
    <t>Mot flicka 0-6 år, bekant med offret inomhus</t>
  </si>
  <si>
    <t>Mot flicka 0-6 år, obekant med offret</t>
  </si>
  <si>
    <t>Mot flicka 0-6 år, obekant med offret, utomhus</t>
  </si>
  <si>
    <t>Mot flicka 0-6 år, obekant med offret, inomhus</t>
  </si>
  <si>
    <t>Mot pojke 0-6 år</t>
  </si>
  <si>
    <t>Mot pojke 0-6 år, bekant med offret</t>
  </si>
  <si>
    <t>Mot pojke 0-6 år, bekant med offret, utomhus</t>
  </si>
  <si>
    <t>Mot pojke 0-6 år, bekant med offret, inomhus</t>
  </si>
  <si>
    <t>Mot pojke 0-6 år, obekant med offret</t>
  </si>
  <si>
    <t>Mot pojke 0-6 år, obekant med offret, utomhus</t>
  </si>
  <si>
    <t>Mot pojke 0-6 år, obekant med offret, inomhus</t>
  </si>
  <si>
    <t>Mot barn 7-14 år</t>
  </si>
  <si>
    <t>Mot flicka 7-14 år</t>
  </si>
  <si>
    <t>Mot flicka 7-14 år, bekant med offret</t>
  </si>
  <si>
    <t>Mot flicka 7-14 år, bekant med offret, utomhus</t>
  </si>
  <si>
    <t>Mot flicka 7-14 år, bekant med offret, inomhus</t>
  </si>
  <si>
    <t>Mot flicka 7-14 år, obekant med offret</t>
  </si>
  <si>
    <t>Mot flicka 7-14 år, obekant med offret, utomhus</t>
  </si>
  <si>
    <t>Mot flicka 7-14 år, obekant med offret, inomhus</t>
  </si>
  <si>
    <t>Mot pojke 7-14 år</t>
  </si>
  <si>
    <t>Mot pojke 7-14 år, bekant med offret</t>
  </si>
  <si>
    <t>Mot pojke 7-14 år, bekant med offret, utomhus</t>
  </si>
  <si>
    <t>Mot pojke 7-14 år, bekant med offret, inomhus</t>
  </si>
  <si>
    <t>Mot pojke 7-14 år, obekant med offret</t>
  </si>
  <si>
    <t>Mot pojke 7-14 år, obekant med offret, utomhus</t>
  </si>
  <si>
    <t>Mot pojke 7-14 år, obekant med offret, inomhus</t>
  </si>
  <si>
    <t>Mot barn 15-17 år</t>
  </si>
  <si>
    <t>Mot flicka 15-17 år</t>
  </si>
  <si>
    <t>Mot flicka 15-17 år, bekant med offret</t>
  </si>
  <si>
    <t>Mot flicka 15-17 år, bekant med offret, utomhus</t>
  </si>
  <si>
    <t>Mot flicka 15-17 år, bekant med offret, inomhus</t>
  </si>
  <si>
    <t>Mot flicka 15-17 år, obekant med offret</t>
  </si>
  <si>
    <t>Mot flicka 15-17 år, obekant med offret, utomhus</t>
  </si>
  <si>
    <t>Mot flicka 15-17 år, obekant med offret, inomhus</t>
  </si>
  <si>
    <t>Mot pojke 15-17 år</t>
  </si>
  <si>
    <t>Mot pojke 15-17 år, bekant med offret</t>
  </si>
  <si>
    <t>Mot pojke 15-17 år, bekant med offret, utomhus</t>
  </si>
  <si>
    <t>Mot pojke 15-17 år, bekant med offret, inomhus</t>
  </si>
  <si>
    <t>Mot pojke 15-17 år, obekant med offret</t>
  </si>
  <si>
    <t>Mot pojke 15-17 år, obekant med offret, utomhus</t>
  </si>
  <si>
    <t>Mot pojke 15-17 år, obekant med offret, inomhus</t>
  </si>
  <si>
    <t>Mot kvinna 18 år eller äldre, bekant med offret</t>
  </si>
  <si>
    <t>Mot kvinna 18 år eller äldre, bekant med offret, utomhus</t>
  </si>
  <si>
    <t>Mot kvinna 18 år eller äldre, bekant med offret, inomhus</t>
  </si>
  <si>
    <t>Mot kvinna 18 år eller äldre, obekant med offret</t>
  </si>
  <si>
    <t>Mot kvinna 18 år eller äldre, obekant med offret, utomhus</t>
  </si>
  <si>
    <t>Mot kvinna 18 år eller äldre, obekant med offret, inomhus</t>
  </si>
  <si>
    <t>Mot man 18 år eller äldre, bekant med offret</t>
  </si>
  <si>
    <t>Mot man 18 år eller äldre, bekant med offret, utomhus</t>
  </si>
  <si>
    <t>Mot man 18 år eller äldre, bekant med offret, inomhus</t>
  </si>
  <si>
    <t>Mot man 18 år eller äldre, obekant med offret</t>
  </si>
  <si>
    <t>Mot man 18 år eller äldre, obekant med offret, utomhus</t>
  </si>
  <si>
    <t>Mot man 18 år eller äldre, obekant med offret, inomhus</t>
  </si>
  <si>
    <t>3 kap. 7, 10 § BrB Vållande till annans död</t>
  </si>
  <si>
    <t>Vållande till annans död, totalt</t>
  </si>
  <si>
    <t>I samband med trafikolycka</t>
  </si>
  <si>
    <t>I samband med arbetsolycka</t>
  </si>
  <si>
    <t>Övriga fall</t>
  </si>
  <si>
    <t>3 kap. 8, 10 § BrB Vållande till kroppskada eller sjukdom (inte i samband med trafikolycka)</t>
  </si>
  <si>
    <t>Vållande till kroppskada eller sjukdom, inte i samband med trafikolycka, totalt</t>
  </si>
  <si>
    <t>3 kap. 9, 10 § BrB Framkallande av fara för annan</t>
  </si>
  <si>
    <t>Framkallande av fara för annan, totalt</t>
  </si>
  <si>
    <t>Som framkallats för arbetstagare</t>
  </si>
  <si>
    <t>4 kap. Brott mot frihet och frid</t>
  </si>
  <si>
    <t>Brott mot frihet och frid, totalt</t>
  </si>
  <si>
    <t xml:space="preserve">4 kap. 1 § BrB Människorov </t>
  </si>
  <si>
    <t>Människorov, totalt</t>
  </si>
  <si>
    <t>4 kap. 1 a § BrB Människohandel</t>
  </si>
  <si>
    <t>Människohandel, totalt</t>
  </si>
  <si>
    <t xml:space="preserve">För sexuella ändamål </t>
  </si>
  <si>
    <t>För sexuella ändamål, med barn under 18 år</t>
  </si>
  <si>
    <t>För sexuella ändamål , med person 18 år eller äldre</t>
  </si>
  <si>
    <t>För tvångsarbete</t>
  </si>
  <si>
    <t>För tvångsarbete, med barn under 18 år</t>
  </si>
  <si>
    <t>För tvångsarbete, med person 18 år eller äldre</t>
  </si>
  <si>
    <t>För tiggeri</t>
  </si>
  <si>
    <t>För tiggeri, med barn under 18 år</t>
  </si>
  <si>
    <t>För tiggeri, med person 18 år eller äldre</t>
  </si>
  <si>
    <t>För organhandel</t>
  </si>
  <si>
    <t>För organhandel, med barn under 18 år</t>
  </si>
  <si>
    <t>För organhandel, med person 18 år eller äldre</t>
  </si>
  <si>
    <t>För krigstjänst</t>
  </si>
  <si>
    <t>För krigstjänst, med barn under 18 år</t>
  </si>
  <si>
    <t>För krigstjänst, med person 18 år eller äldre</t>
  </si>
  <si>
    <t>För övriga ändamål</t>
  </si>
  <si>
    <t>För övriga ändamål, med barn under 18 år</t>
  </si>
  <si>
    <t>För övriga ändamål, med person 18 år eller äldre</t>
  </si>
  <si>
    <t>4 kap. 1 b § BrB Människoexploatering, inkl. grovt</t>
  </si>
  <si>
    <t>Människoexploatering, totalt</t>
  </si>
  <si>
    <t>4 kap. 2 § BrB Olaga frihetsberövande</t>
  </si>
  <si>
    <t>Olaga frihetsberövande, totalt</t>
  </si>
  <si>
    <t>4 kap. 3 § BrB Barnfridsbrott</t>
  </si>
  <si>
    <t>Barnfridsbrott, totalt</t>
  </si>
  <si>
    <t>4 kap 4 § BrB Olaga tvång</t>
  </si>
  <si>
    <t>Olaga tvång, totalt</t>
  </si>
  <si>
    <t xml:space="preserve">4 kap 4 a § 1 st. BrB Grov fridskränkning </t>
  </si>
  <si>
    <t>Grov fridskränkning, totalt</t>
  </si>
  <si>
    <t xml:space="preserve">4 kap 4 a § 2 st. BrB Grov kvinnofridskränkning </t>
  </si>
  <si>
    <t>Grov kvinnofridskränkning, totalt</t>
  </si>
  <si>
    <t>4 kap 4 b § BrB Olaga förföljelse</t>
  </si>
  <si>
    <t>Olaga förföljelse, totalt</t>
  </si>
  <si>
    <t>4 kap 4 c § BrB Äktenskapstvång</t>
  </si>
  <si>
    <t>Äktenskapstvång</t>
  </si>
  <si>
    <t>4 kap 4 c § 3 st. BrB Barnäktenskapsbrott</t>
  </si>
  <si>
    <t xml:space="preserve">Barnäktenskapsbrott </t>
  </si>
  <si>
    <t>4 kap 4 d § BrB Vilseledande till äktenskapsresa</t>
  </si>
  <si>
    <t xml:space="preserve">Vilseledande till äktenskapsresa </t>
  </si>
  <si>
    <t>4 kap. 4 e § BrB Hedersförtryck</t>
  </si>
  <si>
    <t>Hedersförtryck, totalt</t>
  </si>
  <si>
    <t>4 kap. 5 § BrB Olaga hot</t>
  </si>
  <si>
    <t>Olaga hot, totalt</t>
  </si>
  <si>
    <t>Mot flicka under 18 år, internetrelaterat</t>
  </si>
  <si>
    <t>Mot flicka under 18 år, ej internetrelaterat</t>
  </si>
  <si>
    <t>Mot pojke under 18 år, internetrelaterat</t>
  </si>
  <si>
    <t>Mot pojke under 18 år, ej internetrelaterat</t>
  </si>
  <si>
    <t>Mot kvinna 18 år eller äldre närstående genom parrelation</t>
  </si>
  <si>
    <t>Mot kvinna 18 år eller äldre närstående genom parrelation, internetrelaterat</t>
  </si>
  <si>
    <t>Mot kvinna 18 år eller äldre närstående genom parrelation, ej internetrelaterat</t>
  </si>
  <si>
    <t>Mot kvinna 18 år eller äldre närstående genom släktskap/familj</t>
  </si>
  <si>
    <t>Mot kvinna 18 år eller äldre, obekanta, internetrelaterat</t>
  </si>
  <si>
    <t>Mot kvinna 18 år eller äldre, obekanta, ej internetrelaterat</t>
  </si>
  <si>
    <t>Mot man 18 år eller äldre, närstående genom parrelation, internetrelaterat</t>
  </si>
  <si>
    <t>Mot man 18 år eller äldre, närstående genom parrelation, ej internetrelaterat</t>
  </si>
  <si>
    <t>Mot man 18 år eller äldre, närstående genom släktskap/familj, internetrelaterat</t>
  </si>
  <si>
    <t>Mot man 18 år eller äldre, obekanta, internetrelaterat</t>
  </si>
  <si>
    <t>Mot man 18 år eller äldre, obekanta, ej internetrelaterat</t>
  </si>
  <si>
    <t>Mot grupp</t>
  </si>
  <si>
    <t>Mot grupp, internetrelaterat</t>
  </si>
  <si>
    <t>Mot grupp, ej internetrelaterat</t>
  </si>
  <si>
    <t xml:space="preserve">4 kap. 6 § BrB Hemfridsbrott, olaga intrång </t>
  </si>
  <si>
    <t>Hemfridsbrott, olaga intrång , totalt</t>
  </si>
  <si>
    <t>4 kap. 6 a § BrB Kränkande fotografering</t>
  </si>
  <si>
    <t>Kränkande fotografering, totalt</t>
  </si>
  <si>
    <t>4 kap. 6 b § BrB Olovlig identitetsanvändning</t>
  </si>
  <si>
    <t>Olovlig identitetsanvändning, totalt</t>
  </si>
  <si>
    <t xml:space="preserve">4 kap. 6 c-d § BrB Olaga integritetsintrång </t>
  </si>
  <si>
    <t>Olaga integritetsintrång, totalt</t>
  </si>
  <si>
    <t xml:space="preserve">4 kap. 7 § BrB Ofredande </t>
  </si>
  <si>
    <t>Ofredande, totalt</t>
  </si>
  <si>
    <t>4 kap. 7 a § 1 st. BrB Uppmaning till självmord</t>
  </si>
  <si>
    <t>Uppmaning till självmord</t>
  </si>
  <si>
    <t>4 kap. 7 a § 2 st. BrB Oaktsam uppmaning till självmord</t>
  </si>
  <si>
    <t xml:space="preserve">Oaktsam uppmaning till självmord </t>
  </si>
  <si>
    <t xml:space="preserve">4 kap. 8-9 a § BrB Olovlig avlyssning m.m. </t>
  </si>
  <si>
    <t>Olovlig avlyssning m.m. totalt</t>
  </si>
  <si>
    <t xml:space="preserve">4 kap. 9 c § BrB Dataintrång </t>
  </si>
  <si>
    <t>Dataintrång, totalt</t>
  </si>
  <si>
    <t xml:space="preserve"> Genom överbelastningsattack</t>
  </si>
  <si>
    <t xml:space="preserve"> Med hjälp av skadlig kod i utpressningssyfte</t>
  </si>
  <si>
    <t xml:space="preserve"> Genom olovlig registerslagning</t>
  </si>
  <si>
    <t xml:space="preserve"> I sociala medier eller e-tjänster</t>
  </si>
  <si>
    <t>Övrigt dataintrång</t>
  </si>
  <si>
    <t>5 kap. BrB Ärekränkning</t>
  </si>
  <si>
    <t>Ärekränkning, totalt</t>
  </si>
  <si>
    <t>Mot kvinna 18 år eller äldre, internetrelaterat</t>
  </si>
  <si>
    <t>Mot kvinna 18 år eller äldre, ej internetrelaterat</t>
  </si>
  <si>
    <t>Mot man 18 år eller äldre, internetrelaterat</t>
  </si>
  <si>
    <t>Mot man 18 år eller äldre, ej internetrelaterat</t>
  </si>
  <si>
    <t>6 kap. BrB Sexualbrott</t>
  </si>
  <si>
    <t>Sexualbrott, totalt</t>
  </si>
  <si>
    <t xml:space="preserve">6 kap. 1, 1 a, 4 § BrB Våldtäkt inkl. grov, våldtäkt mot barn inkl. grov, oaktsam våldtäkt </t>
  </si>
  <si>
    <t>Våldtäkt, våldtäkt mot barn, oaktsam våldtäkt, totalt</t>
  </si>
  <si>
    <t>6 kap. 1, 4 § BrB Våldtäkt inkl. grov, våldtäkt mot barn inkl. grov</t>
  </si>
  <si>
    <t>Våldtäkt, totalt</t>
  </si>
  <si>
    <t>Mot barn under 15 år, totalt</t>
  </si>
  <si>
    <t>Mot flicka under 15 år, totalt</t>
  </si>
  <si>
    <t>6 kap. 1, 4 § BrB Fullbordad våldtäkt inkl. grov, våldtäkt mot barn inkl. grov</t>
  </si>
  <si>
    <t>Mot flicka under 15 år, utomhus</t>
  </si>
  <si>
    <t>Mot flicka under 15 år, inomhus</t>
  </si>
  <si>
    <t>6 kap. 1, 4 § BrB Försök till våldtäkt  inkl. grov, våldtäkt mot barn inkl. grov</t>
  </si>
  <si>
    <t>Mot pojke under 15 år, totalt</t>
  </si>
  <si>
    <t>Mot pojke under 15 år, utomhus</t>
  </si>
  <si>
    <t>Mot pojke under 15 år, inomhus</t>
  </si>
  <si>
    <t>Mot barn 15–17 år, totalt</t>
  </si>
  <si>
    <t>Mot flicka 15–17 år, totalt</t>
  </si>
  <si>
    <t>Mot flicka 15–17 år, utomhus</t>
  </si>
  <si>
    <t>Mot flicka 15–17 år, inomhus</t>
  </si>
  <si>
    <t>6 kap. 1, 4 § BrB Försök till våldtäkt inkl. grov, våldtäkt mot barn inkl. grov</t>
  </si>
  <si>
    <t>Mot pojke 15–17 år, totalt</t>
  </si>
  <si>
    <t>Mot pojke 15–17 år, utomhus</t>
  </si>
  <si>
    <t>Mot pojke 15–17 år, inomhus</t>
  </si>
  <si>
    <t>6 kap. 1 § BrB Våldtäkt inkl. grov</t>
  </si>
  <si>
    <t>Mot kvinna 18 år eller äldre, totalt</t>
  </si>
  <si>
    <t>6 kap. 1 § BrB Fullbordad våldtäkt inkl. grov</t>
  </si>
  <si>
    <t>6 kap. 1 § BrB Försök till våldtäkt inkl. grov</t>
  </si>
  <si>
    <t>Mot kvinna 18 år eller äldre, annan sorts relation eller bekantskap, utomhus</t>
  </si>
  <si>
    <t>Mot kvinna 18 år eller äldre, annan sorts relation eller bekantskap, inomhus</t>
  </si>
  <si>
    <t>Mot kvinna 18 år eller äldre, obekanta, totalt</t>
  </si>
  <si>
    <t>Mot kvinna 18 år eller äldre, obekanta, utomhus</t>
  </si>
  <si>
    <t>Mot kvinna 18 år eller äldre, obekanta, inomhus</t>
  </si>
  <si>
    <t>Mot man 18 år eller äldre, totalt</t>
  </si>
  <si>
    <t>Mot man 18 år eller äldre, annan sorts relation eller bekantskap, utomhus</t>
  </si>
  <si>
    <t>Mot man 18 år eller äldre, annan sorts relation eller bekantskap, inomhus</t>
  </si>
  <si>
    <t>Mot man 18 år eller äldre, obekanta, totalt</t>
  </si>
  <si>
    <t>Mot man 18 år eller äldre, obekanta, utomhus</t>
  </si>
  <si>
    <t>Mot man 18 år eller äldre, obekanta, inomhus</t>
  </si>
  <si>
    <t xml:space="preserve">6 kap. 1 a § BrB Oaktsam våldtäkt </t>
  </si>
  <si>
    <t>Oaktsam våldtäkt, totalt</t>
  </si>
  <si>
    <t>Mot flicka 15-17 år, utomhus</t>
  </si>
  <si>
    <t>Mot flicka 15-17 år, inomhus</t>
  </si>
  <si>
    <t>Mot pojke 15-17 år, utomhus</t>
  </si>
  <si>
    <t>Mot pojke 15-17 år, inomhus</t>
  </si>
  <si>
    <t>Mot man 18 år eller äldre ,närstående genom släktskap/familj</t>
  </si>
  <si>
    <t xml:space="preserve">6 kap. 2 § BrB Sexuellt övergrepp inkl. grovt </t>
  </si>
  <si>
    <t>Sexuellt övergrepp, totalt</t>
  </si>
  <si>
    <t xml:space="preserve">6 kap. 3 § BrB Oaktsamt sexuellt övergrepp </t>
  </si>
  <si>
    <t>Oaktsamt sexuellt övergrepp, totalt</t>
  </si>
  <si>
    <t>Mot kvinna 18 år eller äldr, närstående genom parrelation</t>
  </si>
  <si>
    <t>6 kap. 5 § BrB Sexuellt utnyttjande av barn</t>
  </si>
  <si>
    <t>Sexuellt utnyttjande av barn, totalt</t>
  </si>
  <si>
    <t>Av flicka under 15 år</t>
  </si>
  <si>
    <t>Av pojke under 15 år</t>
  </si>
  <si>
    <t>Av flicka 15-17 år</t>
  </si>
  <si>
    <t>Av pojke 15-17 år</t>
  </si>
  <si>
    <t>6 kap. 6 § BrB Sexuellt övergrepp mot barn</t>
  </si>
  <si>
    <t>Sexuellt övergrepp mot barn, totalt</t>
  </si>
  <si>
    <t>Mot flicka under 15 år</t>
  </si>
  <si>
    <t>Mot pojke under 15 år</t>
  </si>
  <si>
    <t>6 kap. 7 § BrB Samlag med avkomling eller syskon</t>
  </si>
  <si>
    <t>Samlag med avkomling eller syskon, totalt</t>
  </si>
  <si>
    <t>Med flicka 15-17 år</t>
  </si>
  <si>
    <t>Med pojke 15-17 år</t>
  </si>
  <si>
    <t>Med kvinna 18 år eller äldre</t>
  </si>
  <si>
    <t>Med man 18 år eller äldre</t>
  </si>
  <si>
    <t xml:space="preserve">6 kap. 8 § BrB Utnyttjande av barn under 18 år för sexuell posering, inkl grov </t>
  </si>
  <si>
    <t>Utnyttjande av barn under 18 år för sexuell posering, totalt</t>
  </si>
  <si>
    <t>6 kap. 9 § BrB Utnyttjande av barn under 18 år genom köp av sexuell handling.</t>
  </si>
  <si>
    <t>Utnyttjande av barn under 18 år genom köp av sexuell handling.</t>
  </si>
  <si>
    <t>6 kap. 10 § BrB Sexuellt ofredande</t>
  </si>
  <si>
    <t>Sexuellt ofredande, totalt</t>
  </si>
  <si>
    <t>Sexuellt ofredande, mot barn under 15 år</t>
  </si>
  <si>
    <t>Sexuellt ofredande, mot flicka under 15 år</t>
  </si>
  <si>
    <t>Sexuellt ofredande, pojke under 15 år</t>
  </si>
  <si>
    <t>Sexuellt ofredande, mot barn 15-17 år</t>
  </si>
  <si>
    <t>Sexuellt ofredande, mot flicka 15-17 år</t>
  </si>
  <si>
    <t>Sexuellt ofredande, mot pojke 15-17 år</t>
  </si>
  <si>
    <t>Sexuellt ofredande, mot person 18 år eller äldre</t>
  </si>
  <si>
    <t>Sexuellt ofredande, mot kvinna 18 år eller äldre</t>
  </si>
  <si>
    <t>Sexuellt ofredande, mot kvinna 18 år eller äldre, närstående genom parrelation</t>
  </si>
  <si>
    <t>Sexuellt ofredande,  mot kvinna 18 år eller äldre, obekanta</t>
  </si>
  <si>
    <t>Sexuellt ofredande, mot man 18 år eller äldre</t>
  </si>
  <si>
    <t>Sexuellt ofredande, mot man 18 år eller äldre, närstående genom parrelation</t>
  </si>
  <si>
    <t>Sexuellt ofredande, mot man 18 år eller äldre, närstående genom släktskap/familj</t>
  </si>
  <si>
    <t>Sexuellt ofredande, mot man 18 år eller äldre, obekanta</t>
  </si>
  <si>
    <t>6 kap. 10 a § BrB Kontakt för att träffa ett barn i sexuellt syfte</t>
  </si>
  <si>
    <t>Kontakt för att träffa ett barn i sexuellt syfte, totalt</t>
  </si>
  <si>
    <t>Med flicka under 15 år</t>
  </si>
  <si>
    <t>Med pojke under 15 år</t>
  </si>
  <si>
    <t>6 kap. 11 § BrB Köp av sexuell tjänst</t>
  </si>
  <si>
    <t>Köp av sexuell tjänst, totalt</t>
  </si>
  <si>
    <t>6 kap. 12 § BrB Koppleri, grovt koppleri</t>
  </si>
  <si>
    <t>Koppleri, totalt</t>
  </si>
  <si>
    <t>7 kap. Brott mot familj</t>
  </si>
  <si>
    <t>Brott mot familj, totalt</t>
  </si>
  <si>
    <t>7 kap. 4 § BrB Egenmäktighet med barn</t>
  </si>
  <si>
    <t>Egenmäktighet med barn</t>
  </si>
  <si>
    <t>7 kap. 1-3 § BrB Övriga brott mot familj</t>
  </si>
  <si>
    <t>Övriga brott</t>
  </si>
  <si>
    <t>8-12 kap. Brott mot förmögenhet</t>
  </si>
  <si>
    <t>Brott mot förmögenhet, totalt</t>
  </si>
  <si>
    <t>8 kap. Stöld, rån m.m.</t>
  </si>
  <si>
    <t>Stöld, rån m.m. totalt</t>
  </si>
  <si>
    <t>8 kap. 7 § BrB Tillgrepp av motordrivet fortskaffningsmedel</t>
  </si>
  <si>
    <t>Tillgrepp av motordrivet fortskaffningsmedel, totalt</t>
  </si>
  <si>
    <t>Av bil</t>
  </si>
  <si>
    <t>8 kap. 7 § BrB Försök till tillgrepp av motordrivet fortskaffningsmedel</t>
  </si>
  <si>
    <t>8 kap. 7 § BrB Fullbordat tillgrepp av motordrivet fortskaffningsmedel</t>
  </si>
  <si>
    <t>Av bil, totalt</t>
  </si>
  <si>
    <t>Av övriga bilar</t>
  </si>
  <si>
    <t>Av motorcykel</t>
  </si>
  <si>
    <t>Av  moped</t>
  </si>
  <si>
    <t>Av båt</t>
  </si>
  <si>
    <t>Av annat fordon</t>
  </si>
  <si>
    <t>8 kap. 1, 2, 4 § BrB Stöld inkl. grov</t>
  </si>
  <si>
    <t>Stöld av icke motordrivet fortskaffningsmedel, totalt</t>
  </si>
  <si>
    <t>Av cykel</t>
  </si>
  <si>
    <t>Av elcykel</t>
  </si>
  <si>
    <t>Av annan cykel än elcykel</t>
  </si>
  <si>
    <t>Av annat icke motordrivet fordon</t>
  </si>
  <si>
    <t>8 kap. 1, 2, 4, 4 a § BrB Stöld inkl. grov, inbrottsstöld</t>
  </si>
  <si>
    <t>Inbrottsstöld, inte av skjutvapen, totalt</t>
  </si>
  <si>
    <t>Stöld genom inbrott i skola, bibliotek, fritidshem, m.m.</t>
  </si>
  <si>
    <t>Stöld genom inbrott i idrottsanläggning, kyrka, museum m.m.</t>
  </si>
  <si>
    <t>Stöld genom inbrott i butik, apotek, kiosk m.m.,totalt</t>
  </si>
  <si>
    <t>Stöld genom inbrott i butik, varuhus o.d.</t>
  </si>
  <si>
    <t>Stöld genom inbrott i kiosk, automat och skyltskåp</t>
  </si>
  <si>
    <t>Stöld genom inbrott i apotek och läkemedelsförråd</t>
  </si>
  <si>
    <t>Stöld genom inbrott i kontor</t>
  </si>
  <si>
    <t>Inbrottsstöld i bostad m.m., totalt</t>
  </si>
  <si>
    <t>8 kap. 4 a § BrB Inbrottsstöld</t>
  </si>
  <si>
    <t xml:space="preserve">Inbrottsstöld i bostad </t>
  </si>
  <si>
    <t>Inbrottsstöld i villa, radhus o.d., totalt</t>
  </si>
  <si>
    <t>8 kap. 4 a § BrB Inbrottsstöld, fullbordat</t>
  </si>
  <si>
    <t>Inbrottsstöld i villa, radhus o.d.</t>
  </si>
  <si>
    <t>8 kap. 4 a § BrB Inbrottsstöld, försök</t>
  </si>
  <si>
    <t>Inbrottsstöld i lägenhet, totalt</t>
  </si>
  <si>
    <t>Inbrottsstöld i lägenhet</t>
  </si>
  <si>
    <t>Stöld genom inbrott i källare och på vind</t>
  </si>
  <si>
    <t>Inbrottsstöld i fritidshus</t>
  </si>
  <si>
    <t>Stöld genom inbrott i övriga platser</t>
  </si>
  <si>
    <t>Stöld (även inbrottsstöld) av skjutvapen ammunition och sprängämnen</t>
  </si>
  <si>
    <t>Övrig stöld, totalt</t>
  </si>
  <si>
    <t>Från fordon m.m.</t>
  </si>
  <si>
    <t>Ur och från motordrivet fordon, totalt</t>
  </si>
  <si>
    <t>Ur och från motordrivet fordon, av fast interiör/exteriör</t>
  </si>
  <si>
    <t>Ur och från motordrivet fordon, av andra föremål än fast interiör/exteriör</t>
  </si>
  <si>
    <t>Från cykel</t>
  </si>
  <si>
    <t>Från båt (annat än båtmotor)</t>
  </si>
  <si>
    <t>Av båtmotor</t>
  </si>
  <si>
    <t>Under yrkesmässig transport, totalt</t>
  </si>
  <si>
    <t>Under yrkesmässig transport, avsedd för övrig yrkesmässig transport</t>
  </si>
  <si>
    <t>Av drivmedel, totalt</t>
  </si>
  <si>
    <t>Av diesel</t>
  </si>
  <si>
    <t>Av diesel ur större fordonstank (även entreprenadmaskin m.m.)</t>
  </si>
  <si>
    <t>Av diesel ur större tankar (ej kopplade till fordon)</t>
  </si>
  <si>
    <t>Övrig stöld av drivmedel (även diesel), totalt</t>
  </si>
  <si>
    <t>Övrig stöld av drivmedel genom smitning (från bensinstation)</t>
  </si>
  <si>
    <t>Övrig stöld av drivmedel, ej genom smitning</t>
  </si>
  <si>
    <t>I skola, kyrka, idrottsanläggning och lokal för kultur, totalt</t>
  </si>
  <si>
    <t>I skola, bibliotek, fritidshem m.m.</t>
  </si>
  <si>
    <t>I idrottsanläggning, kyrka, museum m.m.</t>
  </si>
  <si>
    <t>I butik, varuhus o.d.</t>
  </si>
  <si>
    <t>I industri, verkstad, byggplats, lager, hamnområde, kontor m.m., totalt</t>
  </si>
  <si>
    <t>I kontor</t>
  </si>
  <si>
    <t>I industri, verkstad, byggplats, lager, hamnområde, ej i kontor</t>
  </si>
  <si>
    <t>8 kap. 1, 2, 4, 4 a § BrB Stöld inkl. grov</t>
  </si>
  <si>
    <t>I bostad m.m.</t>
  </si>
  <si>
    <t>I bostad (lägenhet, villa), totalt</t>
  </si>
  <si>
    <t>I bostad mot äldre eller funktionsnedsatt</t>
  </si>
  <si>
    <t>I bostad mot ej äldre eller funktionsnedsatt</t>
  </si>
  <si>
    <t>I källare och på vind</t>
  </si>
  <si>
    <t>Väskryckning (inte rån), totalt</t>
  </si>
  <si>
    <t>Väskryckning mot äldre eller funktionsnedsatt</t>
  </si>
  <si>
    <t>Väskryckning mot ej äldre eller funktionsnedsatt</t>
  </si>
  <si>
    <t>Fickstöld, totalt</t>
  </si>
  <si>
    <t>Fickstöld mot äldre eller funktionsnedsatt</t>
  </si>
  <si>
    <t>Fickstöld mot ej äldre eller funktionsnedsatt</t>
  </si>
  <si>
    <t>Övrig stöld</t>
  </si>
  <si>
    <t>8 kap. 5, 6 § BrB Rån inkl. grovt</t>
  </si>
  <si>
    <t>Rån, totalt</t>
  </si>
  <si>
    <t>Bankrån, totalt</t>
  </si>
  <si>
    <t>Bankrån med användning av skjutvapen</t>
  </si>
  <si>
    <t>Bankrån utan användning av skjutvapen</t>
  </si>
  <si>
    <t>Butiksrån, totalt</t>
  </si>
  <si>
    <t>Butiksrån med användning av skjutvapen</t>
  </si>
  <si>
    <t>Butiksrån utan användning av skjutvapen</t>
  </si>
  <si>
    <t>Rån mot värdebefordran, totalt</t>
  </si>
  <si>
    <t>Rån mot värdebefordran med användning av skjutvapen</t>
  </si>
  <si>
    <t>Rån mot värdebefordran utan användning av skjutvapen</t>
  </si>
  <si>
    <t>Rån mot värdetransport, totalt</t>
  </si>
  <si>
    <t>Rån mot värdetransport med användning av skjutvapen</t>
  </si>
  <si>
    <t>Rån mot värdetransport utan användning av skjutvapen</t>
  </si>
  <si>
    <t>Taxirån, totalt</t>
  </si>
  <si>
    <t>Taxirån med användning av skjutvapen</t>
  </si>
  <si>
    <t>Taxirån utan användning av skjutvapen</t>
  </si>
  <si>
    <t>Rån mot privatperson, äldre eller funktionsnedsatt, totalt</t>
  </si>
  <si>
    <t>Rån mot privatperson, äldre eller funktionsnedsatt, med användning av skjutvapen</t>
  </si>
  <si>
    <t>Rån mot privatperson, ej äldre eller funktionsnedsatt, totalt</t>
  </si>
  <si>
    <t>Rån mot privatperson, ej äldre eller funktionsnedsatt, under 18 år, totalt</t>
  </si>
  <si>
    <t>Rån mot privatperson, ej äldre eller funktionsnedsatt, 18 år eller äldre, totalt</t>
  </si>
  <si>
    <t>Övriga rån, totalt</t>
  </si>
  <si>
    <t>Övriga rån med användning av skjutvapen</t>
  </si>
  <si>
    <t>Övriga rån utan användning av skjutvapen</t>
  </si>
  <si>
    <t xml:space="preserve">8 kap. 8-10 § BrB Övriga brott mot 8 kap. </t>
  </si>
  <si>
    <t>Övriga brott mot 8 kap.</t>
  </si>
  <si>
    <t>9 kap. BrB Bedrägeri och annan oredlighet</t>
  </si>
  <si>
    <t>Bedrägeri och annan oredlighet, totalt</t>
  </si>
  <si>
    <t xml:space="preserve">9 kap. 1 §, 2 § 1 st., 3 §  BrB Bedrägeri inkl. grovt. </t>
  </si>
  <si>
    <t>Bedrägeri, bedrägligt beteende, totalt</t>
  </si>
  <si>
    <t>Genom social manipulation, totalt</t>
  </si>
  <si>
    <t>Romansbedrägeri, totalt</t>
  </si>
  <si>
    <t>Romansbedrägeri mot äldre eller funktionsnedsatt</t>
  </si>
  <si>
    <t>Romansbedrägeri ej mot äldre eller funktionsnedsatt</t>
  </si>
  <si>
    <t>Investeringsbedrägeri, totalt</t>
  </si>
  <si>
    <t>Investeringsbedrägeri mot äldre/funktionsnedsatt</t>
  </si>
  <si>
    <t>Investeringsbedrägeri ej mot äldre/funktionsnedsatt</t>
  </si>
  <si>
    <t>Befogenhetsbedrägeri, totalt</t>
  </si>
  <si>
    <t>Befogenhetsbedrägeri mot äldre/funktionsnedsatt</t>
  </si>
  <si>
    <t>Befogenhetsbedrägeri ej mot äldre/funktionsnedsatt</t>
  </si>
  <si>
    <t>Genom social manipulation av  annan typ, totalt</t>
  </si>
  <si>
    <t>Genom social manipulation av  annan typ mot äldre/funktionsnedsatt</t>
  </si>
  <si>
    <t>Genom social manipulation av  annan typ ej mot äldre/funktionsnedsatt</t>
  </si>
  <si>
    <t>Identitetsbedrägeri, totalt</t>
  </si>
  <si>
    <t>Identitetsbedrägeri mot äldre/funktionsnedsatt</t>
  </si>
  <si>
    <t>Identitetsbedrägeri ej mot äldre/funktionsnedsatt</t>
  </si>
  <si>
    <t>Fakturabedrägeri, totalt</t>
  </si>
  <si>
    <t>Fakturabedrägeri mot äldre/funktionsnedsatt</t>
  </si>
  <si>
    <t>Fakturabedrägeri ej mot äldre/funktionsnedsatt</t>
  </si>
  <si>
    <t>Kortbedrägeri (bank, betal- och kreditkort), totalt</t>
  </si>
  <si>
    <t>Kortbedrägeri med fysiskt kort, totalt</t>
  </si>
  <si>
    <t>Kortbedrägeri med fysiskt kort mot äldre/funktionsnedsatt</t>
  </si>
  <si>
    <t>Kortbedrägeri med fysiskt kort ej mot äldre/funktionsnedsatt</t>
  </si>
  <si>
    <t>Kortbedrägeri utan fysiskt kort, totalt</t>
  </si>
  <si>
    <t>Annonsbedrägeri, totalt</t>
  </si>
  <si>
    <t>Annonsbedrägeri mot äldre/funktionsnedsatt</t>
  </si>
  <si>
    <t>Annonsbedrägeri, ej mot äldre/funktionsnedsatt</t>
  </si>
  <si>
    <t>Försäkringsbedrägeri</t>
  </si>
  <si>
    <t>Lönegarantibedrägeri</t>
  </si>
  <si>
    <t>Bedrägeri mot EU:s finansiella intressen</t>
  </si>
  <si>
    <t>9 kap. 2 § 2 st. BrB Bedrägeri, ringa</t>
  </si>
  <si>
    <t>Snyltningsbrott</t>
  </si>
  <si>
    <t xml:space="preserve">9 kap. 3 a § BrB Grovt fordringsbedrägeri </t>
  </si>
  <si>
    <t>Grovt fordringsbedrägeri</t>
  </si>
  <si>
    <t>Övrigt bedrägeri, totalt</t>
  </si>
  <si>
    <t>Övrigt bedrägeri mot äldre/funktionsnedsatt</t>
  </si>
  <si>
    <t>Övrigt bedrägeri ej mot äldre/funktionsnedsatt</t>
  </si>
  <si>
    <t xml:space="preserve">9 kap. 3 b § BrB Subventionsmissbruk </t>
  </si>
  <si>
    <t>Subventionsmissbruk, totalt</t>
  </si>
  <si>
    <t>9 kap. 3 c § BrB Olovlig befattning med betalningsverktyg</t>
  </si>
  <si>
    <t>Olovlig befattning med betalningsverktyg, totalt</t>
  </si>
  <si>
    <t xml:space="preserve">9 kap. 4 § BrB Utpressning </t>
  </si>
  <si>
    <t>Utpressning, totalt</t>
  </si>
  <si>
    <t xml:space="preserve">9 kap. 5 § BrB Ocker </t>
  </si>
  <si>
    <t>Ocker, totalt</t>
  </si>
  <si>
    <t xml:space="preserve">9 kap. 6, 7 § BrB Häleri, häleriförseelse </t>
  </si>
  <si>
    <t>Häleri, häleriförseelse, totalt</t>
  </si>
  <si>
    <t>9 kap. 6 § BrB Häleri, häleriförseelse, inkl. grovt</t>
  </si>
  <si>
    <t>Häleri</t>
  </si>
  <si>
    <t xml:space="preserve">9 kap. 7 § BrB Häleri, häleriförseelse </t>
  </si>
  <si>
    <t>Häleriförseelse</t>
  </si>
  <si>
    <t xml:space="preserve">9 kap. 8-10 § Oredligt förfarande, svindleri, ockerpantning </t>
  </si>
  <si>
    <t>Oredligt förfarande, svindleri, ockerpantning, totalt</t>
  </si>
  <si>
    <t>10 kap. BrB Förskingring och annan trolöshet</t>
  </si>
  <si>
    <t>Förskingring och annan trolöshet, totalt</t>
  </si>
  <si>
    <t>10 kap. 1-3 § BrB Förskingring, grov förskingring, undandräkt</t>
  </si>
  <si>
    <t>Förskingring, undandräkt, totalt</t>
  </si>
  <si>
    <t>10 kap. 4 § BrB Olovligt förfogande</t>
  </si>
  <si>
    <t>Olovligt förfogande, totalt</t>
  </si>
  <si>
    <t xml:space="preserve">10 kap. 5 § BrB Trolöshet mot huvudman </t>
  </si>
  <si>
    <t>Trolöshet mot huvudman, totalt</t>
  </si>
  <si>
    <t xml:space="preserve">10 kap. 5 a, 5 c § BrB Tagande av muta inkl. grov </t>
  </si>
  <si>
    <t>Tagande av muta</t>
  </si>
  <si>
    <t>10 kap. 5 b, 5 c § BrB Givande av muta inkl. grov</t>
  </si>
  <si>
    <t>Givande av muta</t>
  </si>
  <si>
    <t xml:space="preserve">10 kap. 5 d, 5 e § BrB Handel med inflytande och/eller vårdslös finansiering av mutbrott </t>
  </si>
  <si>
    <t xml:space="preserve">Handel med inflytande och/eller vårdslös finansiering av mutbrott </t>
  </si>
  <si>
    <t xml:space="preserve">10 kap. 7 § BrB Olovligt brukande </t>
  </si>
  <si>
    <t>Olovligt brukande, totalt</t>
  </si>
  <si>
    <t>10 kap. 8 § BrB Fyndförseelse</t>
  </si>
  <si>
    <t>Fyndförseelse, totalt</t>
  </si>
  <si>
    <t>10 kap. 6 § BrB Behörighetsmissbruk</t>
  </si>
  <si>
    <t>Behörighetsmissbruk, totalt</t>
  </si>
  <si>
    <t>11 kap. BrB Brott mot borgenärer m.m.</t>
  </si>
  <si>
    <t>Brott mot borgenärer m.m., totalt</t>
  </si>
  <si>
    <t>11 kap. 1 § BrB Oredlighet mot borgenärer</t>
  </si>
  <si>
    <t>Oredlighet mot borgenärer</t>
  </si>
  <si>
    <t xml:space="preserve">11 kap. 2 § BrB Försvårande av konkurs eller exekutiv förrättning </t>
  </si>
  <si>
    <t xml:space="preserve">Försvårande av konkurs eller exekutiv förrättning </t>
  </si>
  <si>
    <t>11 kap. 3  § BrB Vårdslöshet mot borgenärer</t>
  </si>
  <si>
    <t>Vårdslöshet mot borgenärer</t>
  </si>
  <si>
    <t>11 kap. 4 § BrB Otillbörligt gynnande av borgenär</t>
  </si>
  <si>
    <t>Otillbörligt gynnande av borgenär</t>
  </si>
  <si>
    <t>11 kap. 5 § BrB Bokföringsbrott</t>
  </si>
  <si>
    <t xml:space="preserve">Bokföringsbrott </t>
  </si>
  <si>
    <t>12 kap. BrB Skadegörelsebrott</t>
  </si>
  <si>
    <t>Skadegörelsebrott, totalt</t>
  </si>
  <si>
    <t xml:space="preserve">12 kap. 1-3 § BrB Skadegörelse, grov skadegörelse, åverkan </t>
  </si>
  <si>
    <t>Skadegörelse, åverkan, totalt</t>
  </si>
  <si>
    <t>Genom brand (även på motorfordon), totalt</t>
  </si>
  <si>
    <t>Bilbrand eller brand på andra motorfordon</t>
  </si>
  <si>
    <t>Brand på annat än motorfordon</t>
  </si>
  <si>
    <t>På motorfordon (inte genom brand)</t>
  </si>
  <si>
    <t>Klotter mot kollektivtrafik</t>
  </si>
  <si>
    <t>Övrigt klotter, ej mot kollektivtrafik</t>
  </si>
  <si>
    <t>Mot stat, region (landsting), kommun, (ej klotter)</t>
  </si>
  <si>
    <t>Annan skadegörelse (ej klotter)</t>
  </si>
  <si>
    <t>12 kap. 4 § BrB Tagande av olovlig väg</t>
  </si>
  <si>
    <t xml:space="preserve">Tagande av olovlig väg </t>
  </si>
  <si>
    <t>13-15 kap. BrB Brott mot allmänheten</t>
  </si>
  <si>
    <t>Brott mot allmänheten, totalt</t>
  </si>
  <si>
    <t>13 kap. BrB Allmänfarliga brott</t>
  </si>
  <si>
    <t>Allmänfarliga brott, totalt</t>
  </si>
  <si>
    <t>13 kap 1, 2 § BrB Mordbrand inkl. grov</t>
  </si>
  <si>
    <t>Mordbrand</t>
  </si>
  <si>
    <t>13 kap 3 § BrB Allmänfarlig ödeläggelse inkl. grovt</t>
  </si>
  <si>
    <t>Allmänfarlig ödeläggelse, totalt</t>
  </si>
  <si>
    <t>Genom sprängning</t>
  </si>
  <si>
    <t>Genom sprängning, fullbordat brott</t>
  </si>
  <si>
    <t>Genom sprängning, försök med mera till brott</t>
  </si>
  <si>
    <t>Ej genom sprängning</t>
  </si>
  <si>
    <t xml:space="preserve">13 kap 5 c § BrB Sabotage mot blåljusverksamhet inkl. grovt </t>
  </si>
  <si>
    <t>Sabotage mot blåljusverksamhet, totalt</t>
  </si>
  <si>
    <t>13 kap. 6 § BrB Allmänfarlig vårdslöshet</t>
  </si>
  <si>
    <t>Allmänfarlig vårdslöshet, totalt</t>
  </si>
  <si>
    <t>Vållande av brand</t>
  </si>
  <si>
    <t>Annan allmänfarlig vårdslöshet</t>
  </si>
  <si>
    <t xml:space="preserve">13 kap. 7-9 § BrB Spridande av gift eller smitta förgöring, vårdslöshet med gift eller smittämne </t>
  </si>
  <si>
    <t>13 kap. 3-5 b, 10 Övriga brott mot 13 kap.</t>
  </si>
  <si>
    <t>Övriga brott mot 13 kap.</t>
  </si>
  <si>
    <t>14 kap. BrB Förfalskningsbrott</t>
  </si>
  <si>
    <t>Förfalskningsbrott, totalt</t>
  </si>
  <si>
    <t>14 kap. 1-4, 10 § BrB Urkundsförfalskning m.m.</t>
  </si>
  <si>
    <t>Urkundsförfalskning m.m., totalt</t>
  </si>
  <si>
    <t>Check</t>
  </si>
  <si>
    <t>Legitimationshandling</t>
  </si>
  <si>
    <t>Övrig legitimationshandling</t>
  </si>
  <si>
    <t>Övrig urkundsförfalskning</t>
  </si>
  <si>
    <t>14 kap. 5, 10 § BrB Signaturförfalskning</t>
  </si>
  <si>
    <t>Signaturförfalskning, totalt</t>
  </si>
  <si>
    <t xml:space="preserve">14 kap. 6, 7, 10, 11 § BrB Penningförfalskning m.m. </t>
  </si>
  <si>
    <t>Penningförfalskning m.m., totalt</t>
  </si>
  <si>
    <t>14 kap. 8-11 § BrB Övriga brott</t>
  </si>
  <si>
    <t>Övriga brott mot 14 kap.</t>
  </si>
  <si>
    <t>15 kap. Mened, falskt åtal m.m.</t>
  </si>
  <si>
    <t>15 kap. Mened, falskt åtal m.m. totalt</t>
  </si>
  <si>
    <t>15 kap. 1-3 § BrB Mened, osann partsutsaga m.m.</t>
  </si>
  <si>
    <t>Mened, osann partsutsaga m.m., totalt</t>
  </si>
  <si>
    <t>15 kap. 7 § BrB Falsk tillvitelse, vårdslös tillvitelse</t>
  </si>
  <si>
    <t>Falsk tillvitelse, vårdslös tillvitelse, totalt</t>
  </si>
  <si>
    <t>15 kap. 11, 12 § BrB Osant intygande, brukande av osann urkund</t>
  </si>
  <si>
    <t>15 kap. 4 a, 4 b, 5, 6, 8-13 § BrB Övriga brott</t>
  </si>
  <si>
    <t>Övriga brott mot 15 kap.</t>
  </si>
  <si>
    <t>16-20 kap. BrB Brott mot staten</t>
  </si>
  <si>
    <t>Brott mot staten, totalt</t>
  </si>
  <si>
    <t>16 kap. BrB Brott mot allmän ordning</t>
  </si>
  <si>
    <t>Brott mot allmän ordning, totalt</t>
  </si>
  <si>
    <t xml:space="preserve">16 kap. 5 a § BrB Involverande av en underårig i brottslighet </t>
  </si>
  <si>
    <t>Involverande av en underårig i brottslighet, totalt</t>
  </si>
  <si>
    <t>16 kap. 15 § 1, 2 st. BrB Falskt larm</t>
  </si>
  <si>
    <t>Falskt larm, totalt</t>
  </si>
  <si>
    <t>16 kap. 15 § 3 st. BrB Missbruk av larmanordning</t>
  </si>
  <si>
    <t>Missbruk av larmanordning, totalt</t>
  </si>
  <si>
    <t>16 kap. 8 § BrB Hets mot folkgrupp</t>
  </si>
  <si>
    <t>Hets mot folkgrupp, totalt</t>
  </si>
  <si>
    <t>16 kap. 9 § BrB Olaga diskriminering</t>
  </si>
  <si>
    <t>Olaga diskriminering, totalt</t>
  </si>
  <si>
    <t xml:space="preserve">16 kap. 10 a § BrB Barnpornografibrott </t>
  </si>
  <si>
    <t>Barnpornografibrott, totalt</t>
  </si>
  <si>
    <t xml:space="preserve">16 kap. 13 § BrB Djurplågeri </t>
  </si>
  <si>
    <t>Djurplågeri, totalt</t>
  </si>
  <si>
    <t xml:space="preserve">16 kap. 1-6, 10-14 § BrB Övriga brott </t>
  </si>
  <si>
    <t xml:space="preserve">Övriga brott mot 16 kap. </t>
  </si>
  <si>
    <t>17 kap. BrB Brott mot allmän verksamhet</t>
  </si>
  <si>
    <t>Brott mot allmän verksamhet, totalt</t>
  </si>
  <si>
    <t>17 kap. 1, 5 § BrB Våld mot tjänsteman o.d.</t>
  </si>
  <si>
    <t>Våld mot tjänsteman, totalt</t>
  </si>
  <si>
    <t>17 kap. 1 § BrB Våld mot tjänsteman</t>
  </si>
  <si>
    <t>Mot polis</t>
  </si>
  <si>
    <t xml:space="preserve">Mot ordningsvakt </t>
  </si>
  <si>
    <t>Mot annan person</t>
  </si>
  <si>
    <t>17 kap. 1, 5 § BrB Hot m.m. mot tjänsteman o.d.</t>
  </si>
  <si>
    <t>Hot m.m. mot tjänsteman o.d.</t>
  </si>
  <si>
    <t>17 kap. 4, 5 § BrB Våldsamt motstånd</t>
  </si>
  <si>
    <t>Våldsamt motstånd, totalt</t>
  </si>
  <si>
    <t>17 kap. 10 § BrB Övergrepp i rättssak</t>
  </si>
  <si>
    <t>Övergrepp i rättssak, totalt</t>
  </si>
  <si>
    <t>17 kap. BrB 8, 9, 11-13, 15 § Övriga brott</t>
  </si>
  <si>
    <t>Övriga brott mot 17 kap.</t>
  </si>
  <si>
    <t>18 kap. BrB Högmålsbrott</t>
  </si>
  <si>
    <t>Högmålsbrott, totalt</t>
  </si>
  <si>
    <t>19 kap. BrB Brott mot rikets säkerhet</t>
  </si>
  <si>
    <t>Brott mot rikets säkerhet, totalt</t>
  </si>
  <si>
    <t>20 kap. BrB Tjänstefel m.m.</t>
  </si>
  <si>
    <t>Tjänstefel m.m. totalt</t>
  </si>
  <si>
    <t xml:space="preserve">20 kap. 1 § BrB Tjänstefel inkl.grovt </t>
  </si>
  <si>
    <t>Tjänstefel</t>
  </si>
  <si>
    <t>20 kap. 3 § BrB Brott mot tystnadsplikt</t>
  </si>
  <si>
    <t>Brott mot tystnadsplikt</t>
  </si>
  <si>
    <t>22 kap. BrB Om landsförräderi m.m.</t>
  </si>
  <si>
    <t>Om landsförräderi m.m. totalt</t>
  </si>
  <si>
    <t>Brott mot specialstraffrättsliga författningar</t>
  </si>
  <si>
    <t>Brott mot specialstraffrättsliga författningar, totalt</t>
  </si>
  <si>
    <t>Lag (1951:649) om straff för vissa trafikbrott</t>
  </si>
  <si>
    <t>Trafikbrottslagen, totalt</t>
  </si>
  <si>
    <t xml:space="preserve">1 § 2 st. TBL Grov vårdslöshet i trafik </t>
  </si>
  <si>
    <t>Grov vårdslöshet i trafik, totalt</t>
  </si>
  <si>
    <t xml:space="preserve">3 § 1 st. TBL Olovlig  körning, grov olovlig körning </t>
  </si>
  <si>
    <t>Olovlig  körning, totalt</t>
  </si>
  <si>
    <t>4, 4 a § TBL Rattfylleri inkl. grovt</t>
  </si>
  <si>
    <t>Rattfylleri, alkoholpåverkan inkl. både alkohol och narkotika</t>
  </si>
  <si>
    <t>4 § 2 st., 4 a § TBL Rattfylleri inkl. grovt</t>
  </si>
  <si>
    <t>Rattfylleri, enbart påverkan av narkotika</t>
  </si>
  <si>
    <t>5 § TBL Smitning, trafikolycka</t>
  </si>
  <si>
    <t>Smitning, trafikolycka, totalt</t>
  </si>
  <si>
    <t>Med betydande materialskador, personskador eller dödligt utfall</t>
  </si>
  <si>
    <t>Med inga eller lindriga material- och personskador</t>
  </si>
  <si>
    <t xml:space="preserve">3 § 2 och 3 st. TBL Övriga brott </t>
  </si>
  <si>
    <t>Övriga brott mot trafikbrottslagen</t>
  </si>
  <si>
    <t>Narkotikastrafflag (1968:64)</t>
  </si>
  <si>
    <t>Narkotikastrafflagen, totalt</t>
  </si>
  <si>
    <t>1-3 a § NSL Narkotikabrott inkl. grovt, vårdslöshet med narkotika</t>
  </si>
  <si>
    <t xml:space="preserve">Överlåtelse m.m. </t>
  </si>
  <si>
    <t>1-3 § NSL Narkotikabrott inkl. grovt</t>
  </si>
  <si>
    <t xml:space="preserve">Innehav </t>
  </si>
  <si>
    <t>Eget bruk</t>
  </si>
  <si>
    <t>Framställning</t>
  </si>
  <si>
    <t>Miljöbalken (1998:808)</t>
  </si>
  <si>
    <t>Miljöbalken, totalt</t>
  </si>
  <si>
    <t>29 kap. 1 § MB Miljöbrott inkl. grovt</t>
  </si>
  <si>
    <t>Miljöbrott</t>
  </si>
  <si>
    <t xml:space="preserve">29 kap. 2, 2 a § MB Brott eller förseelse mot områdesskydd </t>
  </si>
  <si>
    <t>Brott eller förseelse mot områdesskydd</t>
  </si>
  <si>
    <t xml:space="preserve">29 kap. 2 b § MB Artskydd inkl grovt </t>
  </si>
  <si>
    <t>Artskydd</t>
  </si>
  <si>
    <t>29 kap. 2 c § MB Otillåten hantering av invasiv främmande art</t>
  </si>
  <si>
    <t xml:space="preserve">Otillåten hantering av invasiv främmande art </t>
  </si>
  <si>
    <t xml:space="preserve">29 kap. 3, 3 a § MB Miljöfarlig eller olovlig kemikaliehantering </t>
  </si>
  <si>
    <t xml:space="preserve">Miljöfarlig eller olovlig kemikaliehantering </t>
  </si>
  <si>
    <t>29 kap. 1 § MB Otillåten miljöverksamhet</t>
  </si>
  <si>
    <t xml:space="preserve">Otillåten miljöverksamhet </t>
  </si>
  <si>
    <t>29 kap. 4 a § 1–15 p MB Otillåten avfallstransport</t>
  </si>
  <si>
    <t xml:space="preserve">Otillåten avfallstransport </t>
  </si>
  <si>
    <t>29 kap. 5 § MB Försvårande av miljökontroll</t>
  </si>
  <si>
    <t xml:space="preserve">Försvårande av miljökontroll </t>
  </si>
  <si>
    <t>29 kap. 6 § MB Bristfällig miljöinformation</t>
  </si>
  <si>
    <t>Bristfällig miljöinformation</t>
  </si>
  <si>
    <t>29 kap. 7 § MB Nedskräpning</t>
  </si>
  <si>
    <t>Nedskräpning</t>
  </si>
  <si>
    <t>29 kap. 8 § MB Övriga brott mot miljöbalken</t>
  </si>
  <si>
    <t xml:space="preserve">Övriga brott mot miljöbalken </t>
  </si>
  <si>
    <t>Skattebrottslag (1971:69)</t>
  </si>
  <si>
    <t xml:space="preserve">Skattebrottslagen, totalt </t>
  </si>
  <si>
    <t>SBL 2, 3 § Skattebrott, skatteförseelse</t>
  </si>
  <si>
    <t>Skattebrott, skatteförseelse, totalt</t>
  </si>
  <si>
    <t>SBL 4 § Grovt skattebrott</t>
  </si>
  <si>
    <t>Grovt skattebrott, totalt</t>
  </si>
  <si>
    <t xml:space="preserve">SBL 5 § Vårdslös skatteuppgift </t>
  </si>
  <si>
    <t>Vårdslös skatteuppgift</t>
  </si>
  <si>
    <t xml:space="preserve">SBL 6 § Skatteavdragsbrott </t>
  </si>
  <si>
    <t>Skatteavdragsbrott</t>
  </si>
  <si>
    <t xml:space="preserve">SBL 7, 8 § Skatteredovisningsbrott, vårdslös skatteredovisning </t>
  </si>
  <si>
    <t xml:space="preserve">Skatteredovisningsbrott, vårdslös skatteredovisning </t>
  </si>
  <si>
    <t>SBL 10 § Försvårande av skattekontroll</t>
  </si>
  <si>
    <t xml:space="preserve">Försvårande av skattekontroll </t>
  </si>
  <si>
    <t>Lag (1986:436) om näringsförbud, 47 §</t>
  </si>
  <si>
    <t>Överträdelse av lagen om näringsförbud</t>
  </si>
  <si>
    <t>Aktiebolagslag (2005:551)</t>
  </si>
  <si>
    <t>Aktiebolagslagen, totalt</t>
  </si>
  <si>
    <t xml:space="preserve">ABL 30 kap. 1 § 2 st. 2 p. Underlåtenhet att föra/hålla aktiebok tillgänglig </t>
  </si>
  <si>
    <t>Underlåtenhet att föra/hålla aktiebok tillgänglig</t>
  </si>
  <si>
    <t xml:space="preserve">ABL 30 kap. 1 § 1 st. 4 p. Brott mot låneförbud m.m. </t>
  </si>
  <si>
    <t xml:space="preserve">Brott mot låneförbud m.m. </t>
  </si>
  <si>
    <t xml:space="preserve">ABL 30 kap. 1 § 3 st. Brott mot bulvan/målvaktsbestämmelser </t>
  </si>
  <si>
    <t xml:space="preserve">Brott mot bulvan/målvaktsbestämmelser </t>
  </si>
  <si>
    <t xml:space="preserve">ABL 30 kap. 1 § 1 st. 1 p., 3 p. och 2 § Övriga brott </t>
  </si>
  <si>
    <t xml:space="preserve">Övriga brott mot aktiebolagslagen </t>
  </si>
  <si>
    <t>Lag (2016:1307) om straff för marknadsmissbruk på värdepappersmarknaden</t>
  </si>
  <si>
    <t>Lag om straff för marknadsmissbruk m.m, totalt</t>
  </si>
  <si>
    <t>Lag 2016:1307 2 kap. 2-4, 7 § Insiderbrott m.m.</t>
  </si>
  <si>
    <t>Insiderbrott m.m.</t>
  </si>
  <si>
    <t xml:space="preserve">Lag 2016:1307 2 kap.3 § Obehörigt röjande av insiderinformation </t>
  </si>
  <si>
    <t>Obehörigt röjande av insiderinformation</t>
  </si>
  <si>
    <t>Lag 2016:1307 2 kap.4, 7 § Marknadsmanipulation, inkl. grov</t>
  </si>
  <si>
    <t>Marknadsmanipulation</t>
  </si>
  <si>
    <t>Lag (2014:307) om straff för penningtvättsbrott</t>
  </si>
  <si>
    <t>Penningtvättsbrott, totalt</t>
  </si>
  <si>
    <t xml:space="preserve">Lag 2014:307, 3-4 § Penningtvättsbrott </t>
  </si>
  <si>
    <t xml:space="preserve">Penningtvättsbrott </t>
  </si>
  <si>
    <t>Lag 2014:307, 5 § Penningtvättsbrott, grovt brott</t>
  </si>
  <si>
    <t>Penningtvättsbrott</t>
  </si>
  <si>
    <t xml:space="preserve">Lag 2014:307, 6 § Penningtvättsförseelse </t>
  </si>
  <si>
    <t>Penningtvättsförseelse</t>
  </si>
  <si>
    <t>Lag 2014:307, 7 § 1-3 st Näringspenningtvätt</t>
  </si>
  <si>
    <t xml:space="preserve">Näringspenningtvätt </t>
  </si>
  <si>
    <t>Bidragsbrottslag (2007:612)</t>
  </si>
  <si>
    <t>Bidragsbrottslagen, totalt</t>
  </si>
  <si>
    <t>Lag 2007:612, 2-4 § Bidragsbrottslag</t>
  </si>
  <si>
    <t>Mot Försäkringskassan</t>
  </si>
  <si>
    <t>Mot kommunerna</t>
  </si>
  <si>
    <t>Mot a-kassorna och Arbetsförmedlingen</t>
  </si>
  <si>
    <t>Mot PPM, CSN och Migrationsverket</t>
  </si>
  <si>
    <t>Lag (2000:1225) om straff för smuggling</t>
  </si>
  <si>
    <t>Smugglingslagen, totalt</t>
  </si>
  <si>
    <t>Lag (2000:1225) 3-5, 7, 14 § Smugglingsbrott och olovlig in- och utförsel</t>
  </si>
  <si>
    <t>Smugglingsbrott och olovlig in- och utförsel, ej narkotika</t>
  </si>
  <si>
    <t xml:space="preserve">Lag (2000:1225) 6, 7, 14 § Narkotikasmuggling och olovlig in- och utförsel av narkotika </t>
  </si>
  <si>
    <t xml:space="preserve">Narkotikasmuggling och olovlig in- och utförsel av narkotika </t>
  </si>
  <si>
    <t>Lag (2000:1225)6 a, 7 , 14 § Vapensmuggling, olovlig in- och utförsel</t>
  </si>
  <si>
    <t>Vapensmuggling, olovlig in- och utförsel</t>
  </si>
  <si>
    <t>Av pistol, revolver eller start-, signal- och tårgasvapen</t>
  </si>
  <si>
    <t xml:space="preserve">Av automatvapen (inkl. kulsprutepistol) </t>
  </si>
  <si>
    <t xml:space="preserve">Av jaktvapen </t>
  </si>
  <si>
    <t xml:space="preserve">Av annat vapen </t>
  </si>
  <si>
    <t>Lag (2000:1225) 6 b, 7, 14 § Smuggling av explosiv vara, olovlig in- och utförsel</t>
  </si>
  <si>
    <t>Smuggling av explosiv vara, olovlig in- och utförsel</t>
  </si>
  <si>
    <t xml:space="preserve">Lag (2000:1225) 8-11, 14 § Tullbrott och vårdslös tullredovisning </t>
  </si>
  <si>
    <t>Tullbrott och vårdslös tullredovisning</t>
  </si>
  <si>
    <t xml:space="preserve">Lag (2000:1225) 12-14 § Olovlig befattning med smuggelgods </t>
  </si>
  <si>
    <t xml:space="preserve">Olovlig befattning med smuggelgods </t>
  </si>
  <si>
    <t>Lag (1998:506) om punktskattekontroll av transporter m.m. av alkoholvaror, tobaksvaror och energiprodukter 5 kap. 1, 1 a-c §</t>
  </si>
  <si>
    <t xml:space="preserve">Lagen om punktskattekontroll </t>
  </si>
  <si>
    <t>Lag (1992:860) om kontroll av narkotika</t>
  </si>
  <si>
    <t>Lagen om kontroll av narkotika (13 §)</t>
  </si>
  <si>
    <t>Alkohollag (2010:1622) 11 kap.</t>
  </si>
  <si>
    <t>Alkohollagen, totalt</t>
  </si>
  <si>
    <t xml:space="preserve">Lag (2010:1622) 11 kap. (1 § 1 p., 2 , 4 §) Olovlig befattning med sprit genom tillverkning, inkl. grov </t>
  </si>
  <si>
    <t>Olovlig befattning med sprit genom tillverkning</t>
  </si>
  <si>
    <t>Lag (2010:1622) 11 kap.  (1 § 2 p., 4 §) Olovlig befattning med olovligt tillverkad sprit genom förvärv, innehav m.m.</t>
  </si>
  <si>
    <t>Olovlig befattning med olovligt tillverkad sprit genom förvärv, innehav m.m.</t>
  </si>
  <si>
    <t xml:space="preserve">Lag (2010:1622) 11 kap.(3, 4, 6 §) Olovlig försäljning av alkohol inkl. grov, olovligt innehav av alkohol </t>
  </si>
  <si>
    <t xml:space="preserve">Olovlig försäljning av alkohol, olovligt innehav av alkohol </t>
  </si>
  <si>
    <t>Lag (2010:1622) 11 kap. (5 §) Olovlig vin- och öltillverkning m.m.</t>
  </si>
  <si>
    <t xml:space="preserve">Olovlig vin- och öltillverkning m.m. </t>
  </si>
  <si>
    <t>Lag (2010:1622) 11 kap.  (7, 9 §)Olovligt anskaffande av alkohol, olovlig hantering av alkohol</t>
  </si>
  <si>
    <t xml:space="preserve">Olovligt anskaffande av alkohol, olovlig hantering av alkohol </t>
  </si>
  <si>
    <t xml:space="preserve">Lag (2010:1622) 11 kap.(8 §) Olovlig försäljning av teknisk sprit m.m. </t>
  </si>
  <si>
    <t xml:space="preserve">Olovlig försäljning av teknisk sprit m.m. </t>
  </si>
  <si>
    <t>Lag (2018:2088) om tobak och liknande produkter</t>
  </si>
  <si>
    <t>Tobakslagen</t>
  </si>
  <si>
    <t>Lag om tobaksfria nikotinprodukter</t>
  </si>
  <si>
    <t>Lag om förbud mot vissa hälsofarliga varor (3 § 1 st. och 4 §)</t>
  </si>
  <si>
    <t>Lag om förbud mot vissa hälsofarliga varor</t>
  </si>
  <si>
    <t>Lag om brandfarliga och explosiva varor (6 §, 16 § 1 st, 28 § 1 st, 29 § 2 st, 29a §)</t>
  </si>
  <si>
    <t>Lag om brandfarliga och explosiva varor</t>
  </si>
  <si>
    <t>Läkemedelslag (2015:315) 16 kap. 1 §</t>
  </si>
  <si>
    <t>Läkemedelslag</t>
  </si>
  <si>
    <t>Lag (2009:366) om handel med läkemedel (9 kap. 1, 1 a §)</t>
  </si>
  <si>
    <t xml:space="preserve">Lag om handel med läkemedel </t>
  </si>
  <si>
    <t>Lag (2009:730) om handel med vissa receptfria läkemedel 24 §</t>
  </si>
  <si>
    <t>Lag om handel med vissa receptfria läkemedel</t>
  </si>
  <si>
    <t>Vapenlag (1996:67) 9 kap. 1-3 §</t>
  </si>
  <si>
    <t>Vapenlagen, totalt</t>
  </si>
  <si>
    <t>Vapenlag (1996:67) 1, 1 a § Vapenbrott inkl. grovt, synnerligen grovt</t>
  </si>
  <si>
    <t>Vapenbrott; innehav, totalt</t>
  </si>
  <si>
    <t>Innehav av pistol, revolver eller start-, signal- och tårgasvapen</t>
  </si>
  <si>
    <t>Vapenlag (1996:67) 1 § Vapenbrott, ej grovt brott</t>
  </si>
  <si>
    <t>Vapenlag (1996:67) 1 a § Grovt vapenbrott, synnerligen grovt vapenbrott</t>
  </si>
  <si>
    <t xml:space="preserve">Innehav av automatvapen (inkl. kulsprutepistol) </t>
  </si>
  <si>
    <t>Innehav av jaktvapen, totalt</t>
  </si>
  <si>
    <t>Innehav av jaktvapen</t>
  </si>
  <si>
    <t>Innehav av annat vapen, totalt</t>
  </si>
  <si>
    <t>Innehav av annat vapen</t>
  </si>
  <si>
    <t>Vapenbrott; överlåtelse, utlåning av skjutvapen, totalt</t>
  </si>
  <si>
    <t>Vapenbrott; överlåtelse, utlåning av skjutvapen</t>
  </si>
  <si>
    <t>Vapenlag (1996:67) 1 b, 2 § Annat brott</t>
  </si>
  <si>
    <t>Annat brott mot Vapenlagen</t>
  </si>
  <si>
    <t>Lag (1988:254)  1, 2, 4 § om förbud beträffande knivar och andra farliga föremål</t>
  </si>
  <si>
    <t xml:space="preserve">Lagen om förbud betr. knivar m.m. </t>
  </si>
  <si>
    <t>Jaktlag (1987:259) 43, 44, 46 §</t>
  </si>
  <si>
    <t>Jaktlagen, totalt</t>
  </si>
  <si>
    <t>Illegal rovdjursjakt (varg, björn, järv, lodjur och kungsörn)</t>
  </si>
  <si>
    <t>Övriga brott mot jaktlagen</t>
  </si>
  <si>
    <t>Fiskelag (1993:787) 37-38, 39 a-40 a §</t>
  </si>
  <si>
    <t>Fiskelagen</t>
  </si>
  <si>
    <t>Lag (1980:424) om åtgärder mot förorening från fartyg</t>
  </si>
  <si>
    <t>Lagen om åtgärder mot förorening från fartyg</t>
  </si>
  <si>
    <t>Arbetsmiljölag (1977:1160) 8 kap. 1,  2 §</t>
  </si>
  <si>
    <t xml:space="preserve">Arbetsmiljölagen </t>
  </si>
  <si>
    <t>Utlänningslag (2005:716),  20 kap.</t>
  </si>
  <si>
    <t>Utlänningslagen, totalt</t>
  </si>
  <si>
    <t xml:space="preserve">UtlL 20 kap. 2 § Uppsåtligen uppehåller sig i Sverige trots beslut om utvisning </t>
  </si>
  <si>
    <t xml:space="preserve">Uppsåtligen uppehåller sig i Sverige trots beslut om utvisning </t>
  </si>
  <si>
    <t xml:space="preserve">UtlL 20 kap. 5 § Har utlänning anställd som inte har rätt att vistas i Sverige, eller saknar arbetstillstånd </t>
  </si>
  <si>
    <t>UtlL 20 kap. 7 § Hjälp till utlänning att olovligen uppehålla sig i Sverige, annan EU-stat eller Schengenområdet</t>
  </si>
  <si>
    <t>UtlL 20 kap. 8 § Människosmuggling</t>
  </si>
  <si>
    <t>Människosmuggling</t>
  </si>
  <si>
    <t>UtlL 20 kap. 9 § Organiserande av människosmuggling</t>
  </si>
  <si>
    <t>Organiserande av människosmuggling</t>
  </si>
  <si>
    <t>UtlL 20 kap. 4-7 § Övriga brott</t>
  </si>
  <si>
    <t>Övriga brott mot utlänningslagen</t>
  </si>
  <si>
    <t>Lag (1988:688) om kontaktförbud</t>
  </si>
  <si>
    <t>Lagen om kontaktförbud, totalt</t>
  </si>
  <si>
    <t>Lag (1988:688) 24 § Överträdelse av kontaktförbud</t>
  </si>
  <si>
    <t>Med elektronisk övervakning</t>
  </si>
  <si>
    <t>Utan elektronisk övervakning</t>
  </si>
  <si>
    <t>Mot barn under 18 år, totalt</t>
  </si>
  <si>
    <t>Närstående genom parrelation</t>
  </si>
  <si>
    <t>Närstående genom släktskap/familj</t>
  </si>
  <si>
    <t>Annan sorts relation eller bekantskap</t>
  </si>
  <si>
    <t>Obekanta</t>
  </si>
  <si>
    <t xml:space="preserve">Lag (1988:688) 25 § Hindrande av elektronisk övervakning </t>
  </si>
  <si>
    <t>Hindrande av elektronisk övervakning</t>
  </si>
  <si>
    <t>Lag (2005:321) om tillträdesförbud vid idrottsarrangemang</t>
  </si>
  <si>
    <t>Lagen om tillträdesförbud vid idrottsarrangemang</t>
  </si>
  <si>
    <t>Kulturmiljölag (1988:950) 2 kap. 21, 21 a §</t>
  </si>
  <si>
    <t>Kulturmiljölagen</t>
  </si>
  <si>
    <t xml:space="preserve">Spellag (2018:1138) </t>
  </si>
  <si>
    <t>Spellagen, totalt</t>
  </si>
  <si>
    <t>Spellag (2018:1138), 19 kap. 1, 3 §, inkl. grovt</t>
  </si>
  <si>
    <t>Olovlig spelverksamhet</t>
  </si>
  <si>
    <t>Spellag (2018:1138), 19 kap. 2, 3 §, inkl. grovt</t>
  </si>
  <si>
    <t>Främjande av olovligt spel</t>
  </si>
  <si>
    <t>Spellag (2018:1138), 19 kap. 4,5 §, inkl. grovt</t>
  </si>
  <si>
    <t>Spelfusk</t>
  </si>
  <si>
    <t>Lag (1991:1969) om förbud mot vissa dopningsmedel</t>
  </si>
  <si>
    <t>Lagen om förbud mot vissa dopningmedel</t>
  </si>
  <si>
    <t>Lag (1991:1969) om förbud mot vissa dopningsmedel, 2 § 4, 5 p., 3, 3 a §, inkl. grovt</t>
  </si>
  <si>
    <t>Överlåtelse</t>
  </si>
  <si>
    <t>Lag (1991:1969) om förbud mot vissa dopningsmedel,  2 § 6 p., 3, 3 a §, inkl. grovt</t>
  </si>
  <si>
    <t>Innehav</t>
  </si>
  <si>
    <t>Lag (1991:1969) om förbud mot vissa dopningsmedel, 2 § 7 p., 3, 3 a §, inkl. grovt</t>
  </si>
  <si>
    <t>Lag (1991:1969) om förbud mot vissa dopningsmedel, 2 § 3 p., 3, 3 a §, inkl. grovt</t>
  </si>
  <si>
    <t>Folkbokföringslag (1991:481) 42 §</t>
  </si>
  <si>
    <t>Folkbokföringslagen</t>
  </si>
  <si>
    <t>Övriga trafikbrott (ej TBL) med fängelse i straffskalan</t>
  </si>
  <si>
    <t>Sjölag (1994:1009) 20 kap.</t>
  </si>
  <si>
    <t>Sjölagen, totalt</t>
  </si>
  <si>
    <t xml:space="preserve">Lag (1994:1009) 20 kap. 4, 5 § Sjöfylleri </t>
  </si>
  <si>
    <t>Sjöfylleri</t>
  </si>
  <si>
    <t>Lag (1994:1009) 20 kap. 1, 2, 6-9 § Övriga brott</t>
  </si>
  <si>
    <t xml:space="preserve">Övriga brott mot sjölagen </t>
  </si>
  <si>
    <t>Lag (2014:406) om straff för folkmord, brott mot mänskligheten och krigsförbrytelser</t>
  </si>
  <si>
    <t>Lag (2014:406) om straff för folkmord, brott mot mänskligheten och krigsförbrytelser, 1 §</t>
  </si>
  <si>
    <t>Folkmord</t>
  </si>
  <si>
    <t>Lag (2014:406) om straff för folkmord, brott mot mänskligheten och krigsförbrytelser,  2 §</t>
  </si>
  <si>
    <t>Brott mot mänskligheten</t>
  </si>
  <si>
    <t>Lag (2014:406) om straff för folkmord, brott mot mänskligheten och krigsförbrytelser,  4-11 §</t>
  </si>
  <si>
    <t>Krigsförbrytelse</t>
  </si>
  <si>
    <t>Lag (2014:406) om straff för folkmord, brott mot mänskligheten och krigsförbrytelser, 14-15 §</t>
  </si>
  <si>
    <t>Lag (1982:316) med förbud mot könsstympning av kvinnor</t>
  </si>
  <si>
    <t>Lagen med förbud mot könsstympning av kvinnor</t>
  </si>
  <si>
    <t>Terroristbrottslag (2022:666)</t>
  </si>
  <si>
    <t>Terroristbrottslag, totalt</t>
  </si>
  <si>
    <t>Skyddslag (2010:305) 30-31 §</t>
  </si>
  <si>
    <t>Skyddslag, totalt</t>
  </si>
  <si>
    <t>Lag (1996:95) om vissa internationella sanktioner, 8, 15 §</t>
  </si>
  <si>
    <t xml:space="preserve">Lag om vissa internationella sanktioner </t>
  </si>
  <si>
    <t>Ordningslagen (1993:1617) 2 kap. 29 §, 5 kap. 3-5 §§</t>
  </si>
  <si>
    <t>Ordningslagen</t>
  </si>
  <si>
    <t xml:space="preserve">Lag (1960:729) om upphovsrätt till litterära och konstnärliga verk, lag(2000:171) om förbud beträffande viss avkodningsutrustning </t>
  </si>
  <si>
    <t>Brott mot upphovsrätten</t>
  </si>
  <si>
    <t>Lag (1992:1685) om skydd för kretsmönster för halvledarprodukter, lag (2018:1653) om företagsnamn, patentlagen (1967:837), mönsterskyddslagen (1970:485), växtförädlarrättslagen (1997:306), varumärkeslagen (2010:1877)</t>
  </si>
  <si>
    <t>Brott mot det industriella rättsskyddet</t>
  </si>
  <si>
    <t>Övriga författningar</t>
  </si>
  <si>
    <t>Antal brott, december 2024</t>
  </si>
  <si>
    <t>Förändring jämfört med december 2023 , i antal</t>
  </si>
  <si>
    <t>Förändring jämfört med december 2023 , i procent</t>
  </si>
  <si>
    <t>Antal brott per 100 000 invånare, ackumulerat under 2024</t>
  </si>
  <si>
    <t>Förändring jämfört med motsvarande period 2023, i antal</t>
  </si>
  <si>
    <t>Förändring jämfört med motsvarande period 2023, i procent</t>
  </si>
  <si>
    <t>Antal brott totalt, de senaste 12 månaderna, jan-dec</t>
  </si>
  <si>
    <t>Antal brott per 100 000 invånare, de senaste 12 månaderna, jan-dec</t>
  </si>
  <si>
    <r>
      <rPr>
        <b/>
        <sz val="14"/>
        <rFont val="Calibri"/>
      </rPr>
      <t>Information</t>
    </r>
    <r>
      <rPr>
        <sz val="14"/>
        <color indexed="8"/>
        <rFont val="Calibri"/>
      </rPr>
      <t/>
    </r>
  </si>
  <si>
    <r>
      <rPr>
        <b/>
        <sz val="10"/>
        <rFont val="Calibri"/>
      </rPr>
      <t>Källa:</t>
    </r>
    <r>
      <rPr>
        <sz val="10"/>
        <color indexed="8"/>
        <rFont val="Calibri"/>
      </rPr>
      <t xml:space="preserve"> Brottsförebyggande rådet (Brå)</t>
    </r>
  </si>
  <si>
    <r>
      <rPr>
        <b/>
        <sz val="9"/>
        <rFont val="Calibri"/>
      </rPr>
      <t>Första publicering:</t>
    </r>
    <r>
      <rPr>
        <sz val="9"/>
        <color indexed="8"/>
        <rFont val="Calibri"/>
      </rPr>
      <t xml:space="preserve"> 2025-01-23 kl: 08.00</t>
    </r>
  </si>
  <si>
    <r>
      <rPr>
        <b/>
        <sz val="10"/>
        <rFont val="Calibri"/>
      </rPr>
      <t>Senaste uppdatering:</t>
    </r>
    <r>
      <rPr>
        <sz val="10"/>
        <color indexed="8"/>
        <rFont val="Calibri"/>
      </rPr>
      <t xml:space="preserve"> -</t>
    </r>
  </si>
  <si>
    <r>
      <rPr>
        <b/>
        <sz val="11"/>
        <rFont val="Calibri"/>
      </rPr>
      <t>Teckenförklaringar till tabellerna</t>
    </r>
    <r>
      <rPr>
        <sz val="11"/>
        <color indexed="8"/>
        <rFont val="Calibri"/>
      </rPr>
      <t/>
    </r>
  </si>
  <si>
    <r>
      <rPr>
        <b/>
        <sz val="9"/>
        <rFont val="Calibri"/>
      </rPr>
      <t>Streck (−)</t>
    </r>
    <r>
      <rPr>
        <sz val="9"/>
        <color indexed="8"/>
        <rFont val="Calibri"/>
      </rPr>
      <t xml:space="preserve"> innebär att värdet är noll. </t>
    </r>
  </si>
  <si>
    <r>
      <rPr>
        <b/>
        <sz val="9"/>
        <rFont val="Calibri"/>
      </rPr>
      <t>Punkt (.)</t>
    </r>
    <r>
      <rPr>
        <sz val="9"/>
        <color indexed="8"/>
        <rFont val="Calibri"/>
      </rPr>
      <t xml:space="preserve"> innebär att adekvat data saknas.</t>
    </r>
  </si>
  <si>
    <r>
      <rPr>
        <b/>
        <sz val="9"/>
        <rFont val="Calibri"/>
      </rPr>
      <t>Dubbelpunkt (..)</t>
    </r>
    <r>
      <rPr>
        <sz val="9"/>
        <color indexed="8"/>
        <rFont val="Calibri"/>
      </rPr>
      <t xml:space="preserve"> innebär att ingen uppgift finns tillgänglig. </t>
    </r>
  </si>
  <si>
    <r>
      <rPr>
        <b/>
        <sz val="9"/>
        <rFont val="Calibri"/>
      </rPr>
      <t>BrB</t>
    </r>
    <r>
      <rPr>
        <sz val="9"/>
        <color indexed="8"/>
        <rFont val="Calibri"/>
      </rPr>
      <t xml:space="preserve"> är förkortning av brottsbalken vid lagrumsangivelse.</t>
    </r>
  </si>
  <si>
    <r>
      <rPr>
        <b/>
        <sz val="9"/>
        <rFont val="Calibri"/>
      </rPr>
      <t>Kap.</t>
    </r>
    <r>
      <rPr>
        <sz val="9"/>
        <color indexed="8"/>
        <rFont val="Calibri"/>
      </rPr>
      <t xml:space="preserve"> är förkortning av kapitel i lagrum vid lagrumsangivelse.</t>
    </r>
  </si>
  <si>
    <r>
      <rPr>
        <b/>
        <sz val="11"/>
        <rFont val="Calibri"/>
      </rPr>
      <t>Övrig information</t>
    </r>
    <r>
      <rPr>
        <sz val="11"/>
        <color indexed="8"/>
        <rFont val="Calibri"/>
      </rPr>
      <t/>
    </r>
  </si>
  <si>
    <r>
      <rPr>
        <b/>
        <sz val="9"/>
        <rFont val="Calibri"/>
      </rPr>
      <t>Mord och dråp samt misshandel med dödlig utgång</t>
    </r>
    <r>
      <rPr>
        <sz val="9"/>
        <color indexed="8"/>
        <rFont val="Calibri"/>
      </rPr>
      <t xml:space="preserve"> - i statistiken över anmälda brott om fullbordade mord och dråp samt misshandel med dödlig utgång redovisas samtliga anmälda händelser med dödlig utgång där det funnits anledning att utreda om dödligt våld kan ha varit dödsorsaken. Många av dessa händelser  visar sig efter utredning avse annat än brott, t.ex. självmord olycka eller naturlig död. Det finns ett stort allmänt intresse för information om det faktiska dödliga våldet i Sverige. Brottsförebyggande rådet (Brå) tar därför sedan 2002 årligen fram statistik över Konstaterade fall av dödligt våld som anmälts under redovisningsåret. Statistiken finns på Brås hemsida, se länk: </t>
    </r>
  </si>
  <si>
    <r>
      <rPr>
        <b/>
        <sz val="9"/>
        <rFont val="Calibri"/>
      </rPr>
      <t>Misshandel mot kvinna/man 18 år eller äldre</t>
    </r>
    <r>
      <rPr>
        <sz val="9"/>
        <color indexed="8"/>
        <rFont val="Calibri"/>
      </rPr>
      <t xml:space="preserve"> - var tidigare indelat på tre relationstyper mellan brottsoffer och gärningsperson (närstående genom parrelation, närstående genom släktskap/familj, bekant genom annan slags relation). På grund av att polisen under 2019 ändrade sättet att registrera anmälda misshandelsbrott är statistiken på den detaljnivån behäftad med osäkerhet, och därför redovisas misshandelsbrotten endast indelade som bekant, som omfattar samtliga tre relationstyper, och som obekant. Brå har gjort en kvalitetsgranskning av dessa brott, samt skattat nivåer för anmälda misshandelsbrott mot kvinnor och män uppdelat på de tre detaljerade relationstyperna, år 2019-2021. Kvalitetsgranskningens övergripande resultat redovisas i den årliga statistikrapporten för den slutliga statistken över anmälda brott, som finns på Brås webbsida. </t>
    </r>
  </si>
  <si>
    <r>
      <rPr>
        <b/>
        <sz val="9"/>
        <rFont val="Calibri"/>
      </rPr>
      <t>Smugglingsbrott</t>
    </r>
    <r>
      <rPr>
        <sz val="9"/>
        <color indexed="8"/>
        <rFont val="Calibri"/>
      </rPr>
      <t xml:space="preserve"> - Från och med september 2023 samlar Brå in data från Tullverket med en ny metod. Det innebär mer komplett information om anmälda brott och brottsmisstankar jämfört med tidigare. Statistiken över anmälda smugglingsbrott 2024 är således inte jämförbar med tidigare år.</t>
    </r>
  </si>
  <si>
    <r>
      <rPr>
        <b/>
        <sz val="9"/>
        <rFont val="Calibri"/>
      </rPr>
      <t>Jämförelserna med motsvarande period föregående år</t>
    </r>
    <r>
      <rPr>
        <sz val="9"/>
        <color indexed="8"/>
        <rFont val="Calibri"/>
      </rPr>
      <t xml:space="preserve"> baseras på den preliminära statistiken även föregående år.Anledningen till det är att den preliminära statistiken skiljer sig från den slutliga med i genomsnitt 6 procent färre brott per månad. För att jämförelserna inte ska bli missvisande används därför samma uppföljningsperiod för de uppgifter som jämförs med, som de som redovisas. </t>
    </r>
  </si>
  <si>
    <r>
      <rPr>
        <u/>
        <sz val="11"/>
        <color indexed="12"/>
        <rFont val="Calibri"/>
      </rPr>
      <t>Fler tabeller, rapport, kvalitetsdeklaration samt övrig information finns på Brås webbsida för Anmälda brott</t>
    </r>
    <r>
      <rPr>
        <sz val="11"/>
        <color indexed="8"/>
        <rFont val="Calibri"/>
      </rPr>
      <t/>
    </r>
  </si>
  <si>
    <r>
      <rPr>
        <b/>
        <sz val="14"/>
        <rFont val="Calibri"/>
      </rPr>
      <t>Förändringar</t>
    </r>
    <r>
      <rPr>
        <sz val="14"/>
        <color indexed="8"/>
        <rFont val="Calibri"/>
      </rPr>
      <t/>
    </r>
  </si>
  <si>
    <r>
      <rPr>
        <b/>
        <sz val="14"/>
        <rFont val="Calibri"/>
      </rPr>
      <t>Stora ärenden</t>
    </r>
    <r>
      <rPr>
        <sz val="14"/>
        <color indexed="8"/>
        <rFont val="Calibri"/>
      </rPr>
      <t/>
    </r>
  </si>
  <si>
    <r>
      <rPr>
        <b/>
        <sz val="9"/>
        <rFont val="Calibri"/>
      </rPr>
      <t>Med stora ärenden avses här förekomst av enskilda ärenden som omfattar cirka 100 brott eller fler och som gett upphov till märkbara förändringar i statistiken.</t>
    </r>
    <r>
      <rPr>
        <sz val="9"/>
        <color indexed="8"/>
        <rFont val="Calibri"/>
      </rPr>
      <t/>
    </r>
  </si>
  <si>
    <r>
      <rPr>
        <b/>
        <sz val="9"/>
        <rFont val="Calibri"/>
      </rPr>
      <t>Bedrägeribrott</t>
    </r>
    <r>
      <rPr>
        <sz val="9"/>
        <color indexed="8"/>
        <rFont val="Calibri"/>
      </rPr>
      <t xml:space="preserve"> är en brottstyp där det inte är ovanligt att enskilda stora ärenden med många brott förekommer. Dessa kan ha stor påverkan på statistiken och kan helt eller delvis förklara förändringar jämfört med motsvarande period föregående år.</t>
    </r>
  </si>
  <si>
    <r>
      <rPr>
        <b/>
        <sz val="9"/>
        <rFont val="Calibri"/>
      </rPr>
      <t>Skadegörelsebrott</t>
    </r>
    <r>
      <rPr>
        <sz val="9"/>
        <color indexed="8"/>
        <rFont val="Calibri"/>
      </rPr>
      <t xml:space="preserve"> - det är vanligt förekommande att stora mängder anmälda skadegörelsebrott registreras vid ett och samma tillfälle. Brotten kan vid dessa fall härröra från flertalet månader eller år bakåt i tiden. Detta innebär att mängden brott som registreras varierar beroende på berörda aktörers rutiner vid rapportering och registrering av brott. Exempelvis anmäldes det i februari 2016 ca 9 000 skadegörelsebrott mot stat, kommun, landsting (ej klotter) i region Stockholm, brotten härrör från flera års tid.</t>
    </r>
  </si>
  <si>
    <r>
      <rPr>
        <b/>
        <sz val="9"/>
        <rFont val="Calibri"/>
      </rPr>
      <t>Brott mot bidragsbrottslagen</t>
    </r>
    <r>
      <rPr>
        <sz val="9"/>
        <color indexed="8"/>
        <rFont val="Calibri"/>
      </rPr>
      <t xml:space="preserve"> är en brottstyp där det inte är ovanligt att enskilda stora ärenden med många brott förekommer. Dessa kan ha stor påverkan på statistiken och kan helt eller delvis förklara förändringar jämfört med motsvarande period föregående år.</t>
    </r>
  </si>
  <si>
    <r>
      <rPr>
        <b/>
        <sz val="9"/>
        <rFont val="Calibri"/>
      </rPr>
      <t>Barnpornografibrott</t>
    </r>
    <r>
      <rPr>
        <sz val="9"/>
        <color indexed="8"/>
        <rFont val="Calibri"/>
      </rPr>
      <t xml:space="preserve"> - Under våren 2023 registrerades stora mängder anmälda brott om barnpornografi. Det berodde på en särskild insats, och brotten härrör från flera års tid.</t>
    </r>
  </si>
  <si>
    <r>
      <rPr>
        <b/>
        <sz val="9"/>
        <rFont val="Calibri"/>
      </rPr>
      <t>Dataintrång genom olovlig registerslagning</t>
    </r>
    <r>
      <rPr>
        <sz val="9"/>
        <color indexed="8"/>
        <rFont val="Calibri"/>
      </rPr>
      <t xml:space="preserve"> - i augusti 2023 registrerades ett stort ärende i Region Bergslagen som omfattade ca 100 brott.</t>
    </r>
  </si>
  <si>
    <r>
      <rPr>
        <b/>
        <sz val="9"/>
        <rFont val="Calibri"/>
      </rPr>
      <t>Våldtäkt mot kvinna 18 år eller äldre</t>
    </r>
    <r>
      <rPr>
        <sz val="9"/>
        <color indexed="8"/>
        <rFont val="Calibri"/>
      </rPr>
      <t xml:space="preserve"> - i juni 2023 registrerades ett stort ärende i Region Öst som omfattade 100 brott.</t>
    </r>
  </si>
  <si>
    <r>
      <rPr>
        <b/>
        <sz val="9"/>
        <rFont val="Calibri"/>
      </rPr>
      <t>Stöld, från fabrik, lager, verkstad</t>
    </r>
    <r>
      <rPr>
        <sz val="9"/>
        <color indexed="8"/>
        <rFont val="Calibri"/>
      </rPr>
      <t xml:space="preserve"> - i oktober 2023 registrerades ett stort ärende i Region Öst som omfattade ca 250 brott.</t>
    </r>
  </si>
  <si>
    <r>
      <rPr>
        <b/>
        <sz val="9"/>
        <rFont val="Calibri"/>
      </rPr>
      <t>Förskingring</t>
    </r>
    <r>
      <rPr>
        <sz val="9"/>
        <color indexed="8"/>
        <rFont val="Calibri"/>
      </rPr>
      <t xml:space="preserve"> - i april 2023 registrerades ett enskilt ärende i region Öst som omfattade ca 100 brott.</t>
    </r>
  </si>
  <si>
    <r>
      <rPr>
        <b/>
        <sz val="9"/>
        <rFont val="Calibri"/>
      </rPr>
      <t>Förskingring</t>
    </r>
    <r>
      <rPr>
        <sz val="9"/>
        <color indexed="8"/>
        <rFont val="Calibri"/>
      </rPr>
      <t xml:space="preserve"> - i september 2023 registrerades ett enskilt ärende i region Syd som omfattade ca 110 brott.</t>
    </r>
  </si>
  <si>
    <r>
      <rPr>
        <b/>
        <sz val="9"/>
        <rFont val="Calibri"/>
      </rPr>
      <t>Hot mot tjänsteman, förgripelse mot tjänsteman</t>
    </r>
    <r>
      <rPr>
        <sz val="9"/>
        <color indexed="8"/>
        <rFont val="Calibri"/>
      </rPr>
      <t xml:space="preserve"> - i september 2023 registrerades ett enskilt ärende i region Öst som omfattade 170 brott.</t>
    </r>
  </si>
  <si>
    <r>
      <rPr>
        <b/>
        <sz val="9"/>
        <rFont val="Calibri"/>
      </rPr>
      <t>Narkotikastrafflagen, innehav</t>
    </r>
    <r>
      <rPr>
        <sz val="9"/>
        <color indexed="8"/>
        <rFont val="Calibri"/>
      </rPr>
      <t xml:space="preserve"> - i februari 2024 registrerades ett enskilt stort ärende i region Stockholm som omfattar 100 brott.</t>
    </r>
  </si>
  <si>
    <r>
      <rPr>
        <b/>
        <sz val="9"/>
        <rFont val="Calibri"/>
      </rPr>
      <t>Narkotikastrafflagen, innehav</t>
    </r>
    <r>
      <rPr>
        <sz val="9"/>
        <color indexed="8"/>
        <rFont val="Calibri"/>
      </rPr>
      <t xml:space="preserve"> - i mars 2024 registrerades tre stora ärenden som tillsammans omfattar ca 400 brott.</t>
    </r>
  </si>
  <si>
    <r>
      <rPr>
        <b/>
        <sz val="9"/>
        <rFont val="Calibri"/>
      </rPr>
      <t>Narkotikastrafflagen, innehav</t>
    </r>
    <r>
      <rPr>
        <sz val="9"/>
        <color indexed="8"/>
        <rFont val="Calibri"/>
      </rPr>
      <t xml:space="preserve"> - i april 2024 registrerades ett enskilt ärende i region Stockholm som omfattar ca 120 brott.</t>
    </r>
  </si>
  <si>
    <r>
      <rPr>
        <b/>
        <sz val="9"/>
        <rFont val="Calibri"/>
      </rPr>
      <t>Narkotikastrafflagen, överlåtelse, inkl. vårdslöshet med narkotika</t>
    </r>
    <r>
      <rPr>
        <sz val="9"/>
        <color indexed="8"/>
        <rFont val="Calibri"/>
      </rPr>
      <t xml:space="preserve"> -  i juni 2023 registrerades ett enskilt ärende i region Nord som omfattade 185 brott.</t>
    </r>
  </si>
  <si>
    <r>
      <rPr>
        <b/>
        <sz val="9"/>
        <rFont val="Calibri"/>
      </rPr>
      <t>Narkotikastrafflagen, överlåtelse, inkl. vårdslöshet med narkotika</t>
    </r>
    <r>
      <rPr>
        <sz val="9"/>
        <color indexed="8"/>
        <rFont val="Calibri"/>
      </rPr>
      <t xml:space="preserve"> -  i september 2023 registrerades ett enskilt ärende i region Nord som omfattade 100 brott.</t>
    </r>
  </si>
  <si>
    <r>
      <rPr>
        <b/>
        <sz val="9"/>
        <rFont val="Calibri"/>
      </rPr>
      <t xml:space="preserve">Ordningslagen - </t>
    </r>
    <r>
      <rPr>
        <sz val="9"/>
        <color indexed="8"/>
        <rFont val="Calibri"/>
      </rPr>
      <t>i november 2024 registrerades ett stort ärende i region Bergslagen som omfattar ca 450 brott.</t>
    </r>
  </si>
  <si>
    <r>
      <rPr>
        <u/>
        <sz val="9"/>
        <color indexed="12"/>
        <rFont val="Calibri"/>
      </rPr>
      <t>För mer information om stora ärenden se Kvalitetsdeklarationen för Anmälda brott på Brås webbisda</t>
    </r>
    <r>
      <rPr>
        <sz val="9"/>
        <color indexed="8"/>
        <rFont val="Calibri"/>
      </rPr>
      <t/>
    </r>
  </si>
  <si>
    <t>Mot kvinna 18 år eller äldre närstående genom släktskap/familj, internetrelaterat</t>
  </si>
  <si>
    <t>Mot kvinna 18 år eller äldre närstående genom släktskap/familj, ej internetrelaterat</t>
  </si>
  <si>
    <t>Mot kvinna 18 år eller äldre, annan sorts relation eller bekantskap, internetrelaterat</t>
  </si>
  <si>
    <t>Mot kvinna 18 år eller äldre, annan sorts relation eller bekantskap, ej internetrelaterat</t>
  </si>
  <si>
    <t>Mot man 18 år eller äldre, närstående genom släktskap/familj, ej internetrelaterat</t>
  </si>
  <si>
    <t>Mot man 18 år eller äldre, annan sorts relation eller bekantskap, internetrelaterat</t>
  </si>
  <si>
    <t>Mot man 18 år eller äldre, annan sorts relation eller bekantskap, ej internetrelaterat</t>
  </si>
  <si>
    <t>Sexuellt ofredande, mot kvinna 18 år eller äldre, närstående genom släktskap/familj</t>
  </si>
  <si>
    <t>Sexuellt ofredande,  mot kvinna 18 år eller äldrea, annan sorts relation eller bekantskap</t>
  </si>
  <si>
    <t>Sexuellt ofredande, mot man 18 år eller äldre, annan sorts relation eller bekantskap</t>
  </si>
  <si>
    <t>Av bil avsedd för yrkesmässig godsbefordran (Lastbil, släpfordon, järnvägsvagn eller lastbärare (container eller motsvarande)</t>
  </si>
  <si>
    <t>Stöld genom inbrott i skola, kyrka, idrottsanläggning och lokal för kultur, totalt</t>
  </si>
  <si>
    <t>Stöld genom inbrott i hotell, kafé, restaurang, biograf, teater, nöjes-, samlings- och ungdomslokal m.m.</t>
  </si>
  <si>
    <t>Stöld genom inbrott i industri, verkstad, byggplats, lager, garage, hamnområde, kontor m.m., totalt</t>
  </si>
  <si>
    <t>Stöld genom inbrott i industri, verkstad, byggplats, lager, garage, hamnområde, ej i kontor</t>
  </si>
  <si>
    <t>Stöld (även inbrottsstöld) av skjutvapen ammunition och sprängämnen från militärt förråd/inom militärförläggning</t>
  </si>
  <si>
    <t>Stöld (även inbrottsstöld) av skjutvapen ammunition och sprängämnen från skytteorganisation, vapenhandlare och sprängämnesförråd</t>
  </si>
  <si>
    <t>Stöld (även inbrottsstöld) av skjutvapen ammunition och sprängämnen från bostad (lägenhet, villa) och fritidshus</t>
  </si>
  <si>
    <t>Stöld (även inbrottsstöld) av skjutvapen ammunition och sprängämnen från övriga platser</t>
  </si>
  <si>
    <t>Under yrkesmässig transport, avsedd för yrkesmässig godsbefordran (lastbil, släpfordon, järnvägsvagn, fartyg el lastbärare)</t>
  </si>
  <si>
    <t>I hotell, kafé, restaurang, biograf, teater, nöjes-, samlings- och ungdomslokal m.m.</t>
  </si>
  <si>
    <t>Rån mot privatperson, äldre eller funktionsnedsatt, utan användning av skjutvapen</t>
  </si>
  <si>
    <t>Rån mot privatperson, ej äldre eller funktionsnedsatt, under 18 år utomhus, totalt</t>
  </si>
  <si>
    <t>Rån mot privatperson, ej äldre eller funktionsnedsatt,  under 18 år utomhus med användning av skjutvapen</t>
  </si>
  <si>
    <t>Rån mot privatperson, ej äldre eller funktionsnedsatt, under 18 år utomhus utan användning av skjutvapen</t>
  </si>
  <si>
    <t>Rån mot privatperson, ej äldre eller funktionsnedsatt, under 18 år inomhus, totalt</t>
  </si>
  <si>
    <t>Rån mot privatperson, ej äldre eller funktionsnedsatt, under 18 år inomhus med användning av skjutvapen</t>
  </si>
  <si>
    <t>Rån mot privatperson, ej äldre eller funktionsnedsatt, under 18 år inomhus utan användning av skjutvapen</t>
  </si>
  <si>
    <t>Rån mot privatperson, ej äldre eller funktionsnedsatt, 18 år eller äldre utomhus, totalt</t>
  </si>
  <si>
    <t>Rån mot privatperson, ej äldre eller funktionsnedsatt, 18 år eller äldre utomhus med användning av skjutvapen</t>
  </si>
  <si>
    <t>Rån mot privatperson, ej äldre eller funktionsnedsatt, 18 år eller äldre utomhus utan användning av skjutvapen</t>
  </si>
  <si>
    <t>Rån mot privatperson, ej äldre eller funktionsnedsatt, 18 år eller äldre inomhus, totalt</t>
  </si>
  <si>
    <t>Rån mot privatperson, ej äldre eller funktionsnedsatt, 18 år eller äldre inomhus med användning av skjutvapen</t>
  </si>
  <si>
    <t>Rån mot privatperson, ej äldre eller funktionsnedsatt, 18 år eller äldre inomhus utan användning av skjutvapen</t>
  </si>
  <si>
    <t>Spridande av gift eller smitta förgöring, vårdslöshet med gift eller smittämne, totalt</t>
  </si>
  <si>
    <t>Handling som  använts för illegal invandring (pass, resedokument, uppehållstillstånd m.m.)</t>
  </si>
  <si>
    <t>Missbruk av urkund avs. pass och övr. resedokument samt utfärdat pass på falska grunder, totalt</t>
  </si>
  <si>
    <t>Har utlänning anställd som inte har rätt att vistas i Sverige, eller saknar arbetstillstånd</t>
  </si>
  <si>
    <t>Hjälp till utlänning att olovligen uppehålla sig i Sverige, annan EU-stat eller Schengenområdet</t>
  </si>
  <si>
    <t>Lagen om straff för folkmord, brott mot mänskligheten och krigsförbrytelser, totalt</t>
  </si>
  <si>
    <t>Antal brott</t>
  </si>
  <si>
    <t>bekant</t>
  </si>
  <si>
    <t>obekant</t>
  </si>
  <si>
    <t>Mot barn 0-6 år, totalt</t>
  </si>
  <si>
    <t>Mot flicka 0-6 år, totalt</t>
  </si>
  <si>
    <t>Mot flicka 0-6 år, bekant med offret, totalt</t>
  </si>
  <si>
    <t>Mot flicka 0-6 år, obekant med offret, totalt</t>
  </si>
  <si>
    <t>Mot pojke 0-6 år, totalt</t>
  </si>
  <si>
    <t>Mot pojke 0-6 år, bekant med offret, totalt</t>
  </si>
  <si>
    <t>Mot pojke 0-6 år, obekant med offret, totalt</t>
  </si>
  <si>
    <t>Mot barn 7-14 år, totalt</t>
  </si>
  <si>
    <t>Mot flicka 7-14 år, totalt</t>
  </si>
  <si>
    <t>Mot flicka 7-14 år, bekant med offret, totalt</t>
  </si>
  <si>
    <t>Mot flicka 7-14 år, obekant med offret, totalt</t>
  </si>
  <si>
    <t>Mot pojke 7-14 år, totalt</t>
  </si>
  <si>
    <t>Mot pojke 7-14 år, bekant med offret, totalt</t>
  </si>
  <si>
    <t>Mot pojke 7-14 år, obekant med offret, totalt</t>
  </si>
  <si>
    <t>Mot barn 15-17 år, totalt</t>
  </si>
  <si>
    <t>Mot flicka 15-17 år, totalt</t>
  </si>
  <si>
    <t>Mot flicka 15-17 år, bekant med offret, totalt</t>
  </si>
  <si>
    <t>Mot flicka 15-17 år, obekant med offret, totalt</t>
  </si>
  <si>
    <t>Mot pojke 15-17 år, totalt</t>
  </si>
  <si>
    <t>Mot pojke 15-17 år, bekant med offret, totalt</t>
  </si>
  <si>
    <t>Mot pojke 15-17 år, obekant med offret, totalt</t>
  </si>
  <si>
    <t>Mot kvinna 18 år eller äldre, bekant med offret, totalt</t>
  </si>
  <si>
    <t>Mot kvinna 18 år eller äldre, obekant med offret, totalt</t>
  </si>
  <si>
    <t>Mot man 18 år eller äldre, bekant med offret, totalt</t>
  </si>
  <si>
    <t>Mot man 18 år eller äldre, obekant med offret, totalt</t>
  </si>
  <si>
    <t>För sexuella ändamål, totalt</t>
  </si>
  <si>
    <t>För tvångsarbete, totalt</t>
  </si>
  <si>
    <t>För tiggeri, totalt</t>
  </si>
  <si>
    <t>För organhandel, totalt</t>
  </si>
  <si>
    <t>För krigstjänst, totalt</t>
  </si>
  <si>
    <t>För övriga ändamål, totalt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</si>
</sst>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kr&quot;;[Red]\-#,##0\ &quot;kr&quot;"/>
    <numFmt numFmtId="164" formatCode="#,##0;[Red]&quot;-&quot;#,##0"/>
    <numFmt numFmtId="165" formatCode="#\ ##0_2;\-#\ ##0_2;&quot;-&quot;_2;&quot;.&quot;_2"/>
  </numFmts>
  <fonts count="180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9"/>
      <name val="Helvetica"/>
    </font>
    <font>
      <sz val="8"/>
      <name val="Helvetica"/>
    </font>
    <font>
      <sz val="10"/>
      <name val="MS Sans Serif"/>
      <family val="2"/>
    </font>
    <font>
      <sz val="8"/>
      <name val="Helvetica"/>
      <family val="2"/>
    </font>
    <font>
      <b/>
      <sz val="10"/>
      <name val="Arial"/>
      <family val="2"/>
    </font>
    <font>
      <u/>
      <sz val="11"/>
      <color theme="10"/>
      <name val="Calibri"/>
      <family val="2"/>
      <scheme val="minor"/>
    </font>
    <font>
      <b/>
      <sz val="10"/>
      <color theme="1"/>
      <name val="Arial"/>
      <family val="2"/>
    </font>
    <font>
      <b/>
      <sz val="8"/>
      <name val="Arial"/>
    </font>
    <font>
      <b/>
      <sz val="8"/>
      <name val="Arial"/>
    </font>
    <font>
      <b/>
      <sz val="8"/>
      <name val="Arial"/>
    </font>
    <font>
      <b/>
      <sz val="8"/>
      <name val="Arial"/>
    </font>
    <font>
      <b/>
      <sz val="8"/>
      <name val="Arial"/>
    </font>
    <font>
      <b/>
      <sz val="8"/>
      <name val="Arial"/>
    </font>
    <font>
      <b/>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b/>
      <sz val="8"/>
      <name val="Arial"/>
    </font>
    <font>
      <b/>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i/>
      <sz val="8"/>
      <name val="Arial"/>
    </font>
    <font>
      <sz val="8"/>
      <name val="Arial"/>
    </font>
    <font>
      <i/>
      <sz val="8"/>
      <name val="Arial"/>
    </font>
    <font>
      <sz val="8"/>
      <name val="Arial"/>
    </font>
    <font>
      <i/>
      <sz val="8"/>
      <name val="Arial"/>
    </font>
    <font>
      <sz val="8"/>
      <name val="Arial"/>
    </font>
    <font>
      <sz val="8"/>
      <name val="Arial"/>
    </font>
    <font>
      <sz val="8"/>
      <name val="Arial"/>
    </font>
    <font>
      <sz val="8"/>
      <name val="Arial"/>
    </font>
    <font>
      <sz val="8"/>
      <name val="Arial"/>
    </font>
    <font>
      <i/>
      <sz val="8"/>
      <name val="Arial"/>
    </font>
    <font>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b/>
      <sz val="8"/>
      <name val="Arial"/>
    </font>
    <font>
      <b/>
      <sz val="8"/>
      <name val="Arial"/>
    </font>
    <font>
      <sz val="8"/>
      <name val="Arial"/>
    </font>
    <font>
      <sz val="8"/>
      <name val="Arial"/>
    </font>
    <font>
      <sz val="8"/>
      <name val="Arial"/>
    </font>
    <font>
      <sz val="8"/>
      <name val="Arial"/>
    </font>
    <font>
      <b/>
      <sz val="8"/>
      <name val="Arial"/>
    </font>
    <font>
      <b/>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b/>
      <sz val="8"/>
      <name val="Arial"/>
    </font>
    <font>
      <sz val="14"/>
      <color indexed="8"/>
      <name val="Calibri"/>
    </font>
    <font>
      <sz val="10"/>
      <color indexed="8"/>
      <name val="Calibri"/>
    </font>
    <font>
      <sz val="9"/>
      <color indexed="8"/>
      <name val="Calibri"/>
    </font>
    <font>
      <sz val="10"/>
      <color indexed="8"/>
      <name val="Calibri"/>
    </font>
    <font>
      <sz val="11"/>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11"/>
      <color indexed="8"/>
      <name val="Calibri"/>
    </font>
    <font>
      <sz val="9"/>
      <color indexed="8"/>
      <name val="Calibri"/>
    </font>
    <font>
      <sz val="9"/>
      <color indexed="8"/>
      <name val="Calibri"/>
    </font>
    <font>
      <sz val="9"/>
      <color indexed="8"/>
      <name val="Calibri"/>
    </font>
    <font>
      <sz val="9"/>
      <color indexed="8"/>
      <name val="Calibri"/>
    </font>
    <font>
      <sz val="11"/>
      <color indexed="8"/>
      <name val="Calibri"/>
    </font>
    <font>
      <sz val="14"/>
      <color indexed="8"/>
      <name val="Calibri"/>
    </font>
    <font>
      <sz val="14"/>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sz val="9"/>
      <color indexed="8"/>
      <name val="Calibri"/>
    </font>
    <font>
      <b/>
      <sz val="14"/>
      <name val="Calibri"/>
    </font>
    <font>
      <b/>
      <sz val="10"/>
      <name val="Calibri"/>
    </font>
    <font>
      <b/>
      <sz val="9"/>
      <name val="Calibri"/>
    </font>
    <font>
      <b/>
      <sz val="11"/>
      <name val="Calibri"/>
    </font>
    <font>
      <u/>
      <sz val="11"/>
      <color indexed="12"/>
      <name val="Calibri"/>
    </font>
    <font>
      <u/>
      <sz val="9"/>
      <color indexed="12"/>
      <name val="Calibri"/>
    </font>
    <font>
      <i/>
      <sz val="8"/>
      <color theme="1"/>
      <name val="Arial"/>
    </font>
    <font>
      <sz val="8"/>
      <color theme="1"/>
      <name val="Arial"/>
    </font>
    <font>
      <sz val="10"/>
      <color theme="1"/>
      <name val="Arial"/>
    </font>
  </fonts>
  <fills count="3">
    <fill>
      <patternFill patternType="none"/>
    </fill>
    <fill>
      <patternFill patternType="gray125"/>
    </fill>
    <fill>
      <patternFill patternType="solid">
        <fgColor theme="0" tint="-0.14999847407452621"/>
        <bgColor theme="0" tint="-0.14999847407452621"/>
      </patternFill>
    </fill>
  </fills>
  <borders count="1">
    <border>
      <left/>
      <right/>
      <top/>
      <bottom/>
      <diagonal/>
    </border>
  </borders>
  <cellStyleXfs count="12">
    <xf numFmtId="0" fontId="0" fillId="0" borderId="0"/>
    <xf numFmtId="0" fontId="5" fillId="0" borderId="0"/>
    <xf numFmtId="164" fontId="8" fillId="0" borderId="0" applyFont="0" applyFill="0" applyBorder="0" applyAlignment="0" applyProtection="0"/>
    <xf numFmtId="6" fontId="8" fillId="0" borderId="0" applyFont="0" applyFill="0" applyBorder="0" applyAlignment="0" applyProtection="0"/>
    <xf numFmtId="0" fontId="4" fillId="0" borderId="0"/>
    <xf numFmtId="0" fontId="3" fillId="0" borderId="0"/>
    <xf numFmtId="0" fontId="11" fillId="0" borderId="0" applyNumberFormat="0" applyFill="0" applyBorder="0" applyAlignment="0" applyProtection="0"/>
    <xf numFmtId="0" fontId="2" fillId="0" borderId="0"/>
    <xf numFmtId="0" fontId="5" fillId="0" borderId="0"/>
    <xf numFmtId="0" fontId="1" fillId="0" borderId="0"/>
    <xf numFmtId="0" fontId="1" fillId="0" borderId="0"/>
    <xf numFmtId="0" fontId="1" fillId="0" borderId="0"/>
  </cellStyleXfs>
  <cellXfs count="1807">
    <xf numFmtId="0" fontId="0" fillId="0" borderId="0" xfId="0"/>
    <xf numFmtId="0" fontId="10" fillId="0" borderId="0" xfId="0" applyFont="1"/>
    <xf numFmtId="0" fontId="10" fillId="0" borderId="0" xfId="0" applyFont="1" applyAlignment="1">
      <alignment horizontal="left"/>
    </xf>
    <xf numFmtId="3" fontId="9" fillId="0" borderId="0" xfId="0" applyNumberFormat="1" applyFont="1"/>
    <xf numFmtId="3" fontId="9" fillId="0" borderId="0" xfId="0" applyNumberFormat="1" applyFont="1" applyAlignment="1">
      <alignment horizontal="right"/>
    </xf>
    <xf numFmtId="3" fontId="6" fillId="0" borderId="0" xfId="0" applyNumberFormat="1" applyFont="1" applyAlignment="1">
      <alignment horizontal="right"/>
    </xf>
    <xf numFmtId="0" fontId="0" fillId="0" borderId="0" xfId="0" applyAlignment="1">
      <alignment horizontal="right"/>
    </xf>
    <xf numFmtId="3" fontId="7" fillId="0" borderId="0" xfId="0" applyNumberFormat="1" applyFont="1" applyAlignment="1">
      <alignment horizontal="right"/>
    </xf>
    <xf numFmtId="0" fontId="4" fillId="0" borderId="0" xfId="4"/>
    <xf numFmtId="3" fontId="6" fillId="0" borderId="0" xfId="0" applyNumberFormat="1" applyFont="1"/>
    <xf numFmtId="0" fontId="2" fillId="0" borderId="0" xfId="7"/>
    <xf numFmtId="0" fontId="12" fillId="0" borderId="0" xfId="4" applyFont="1"/>
    <xf numFmtId="0" fontId="13" fillId="0" borderId="0" xfId="0" applyFont="1" applyAlignment="1">
      <alignment horizontal="left" vertical="top" wrapText="1"/>
    </xf>
    <xf numFmtId="0" fontId="14" fillId="0" borderId="0" xfId="0" applyFont="1" applyAlignment="1">
      <alignment horizontal="left" wrapText="1"/>
    </xf>
    <xf numFmtId="165" fontId="15" fillId="0" borderId="0" xfId="0" applyNumberFormat="1" applyFont="1" applyAlignment="1">
      <alignment horizontal="right" wrapText="1"/>
    </xf>
    <xf numFmtId="0" fontId="16" fillId="0" borderId="0" xfId="0" applyFont="1" applyAlignment="1">
      <alignment horizontal="left" wrapText="1"/>
    </xf>
    <xf numFmtId="165" fontId="17" fillId="0" borderId="0" xfId="0" applyNumberFormat="1" applyFont="1" applyAlignment="1">
      <alignment horizontal="right" wrapText="1"/>
    </xf>
    <xf numFmtId="0" fontId="18" fillId="0" borderId="0" xfId="0" applyFont="1" applyAlignment="1">
      <alignment horizontal="left" wrapText="1"/>
    </xf>
    <xf numFmtId="165" fontId="19" fillId="0" borderId="0" xfId="0" applyNumberFormat="1" applyFont="1" applyAlignment="1">
      <alignment horizontal="right" wrapText="1"/>
    </xf>
    <xf numFmtId="0" fontId="20" fillId="0" borderId="0" xfId="0" applyFont="1" applyAlignment="1">
      <alignment horizontal="left" wrapText="1"/>
    </xf>
    <xf numFmtId="165" fontId="21" fillId="0" borderId="0" xfId="0" applyNumberFormat="1" applyFont="1" applyAlignment="1">
      <alignment horizontal="right" wrapText="1"/>
    </xf>
    <xf numFmtId="0" fontId="22" fillId="0" borderId="0" xfId="0" applyFont="1" applyAlignment="1">
      <alignment horizontal="left" wrapText="1"/>
    </xf>
    <xf numFmtId="165" fontId="23" fillId="0" borderId="0" xfId="0" applyNumberFormat="1" applyFont="1" applyAlignment="1">
      <alignment horizontal="right" wrapText="1"/>
    </xf>
    <xf numFmtId="0" fontId="24" fillId="0" borderId="0" xfId="0" applyFont="1" applyAlignment="1">
      <alignment horizontal="left" wrapText="1"/>
    </xf>
    <xf numFmtId="165" fontId="25" fillId="0" borderId="0" xfId="0" applyNumberFormat="1" applyFont="1" applyAlignment="1">
      <alignment horizontal="right" wrapText="1"/>
    </xf>
    <xf numFmtId="0" fontId="26" fillId="0" borderId="0" xfId="0" applyFont="1" applyAlignment="1">
      <alignment horizontal="left" wrapText="1"/>
    </xf>
    <xf numFmtId="165" fontId="27" fillId="0" borderId="0" xfId="0" applyNumberFormat="1" applyFont="1" applyAlignment="1">
      <alignment horizontal="right" wrapText="1"/>
    </xf>
    <xf numFmtId="0" fontId="28" fillId="0" borderId="0" xfId="0" applyFont="1" applyAlignment="1">
      <alignment horizontal="left" wrapText="1"/>
    </xf>
    <xf numFmtId="165" fontId="29" fillId="0" borderId="0" xfId="0" applyNumberFormat="1" applyFont="1" applyAlignment="1">
      <alignment horizontal="right" wrapText="1"/>
    </xf>
    <xf numFmtId="0" fontId="30" fillId="0" borderId="0" xfId="0" applyFont="1" applyAlignment="1">
      <alignment horizontal="left" wrapText="1"/>
    </xf>
    <xf numFmtId="165" fontId="31" fillId="0" borderId="0" xfId="0" applyNumberFormat="1" applyFont="1" applyAlignment="1">
      <alignment horizontal="right" wrapText="1"/>
    </xf>
    <xf numFmtId="0" fontId="32" fillId="0" borderId="0" xfId="0" applyFont="1" applyAlignment="1">
      <alignment horizontal="left" wrapText="1"/>
    </xf>
    <xf numFmtId="165" fontId="33" fillId="0" borderId="0" xfId="0" applyNumberFormat="1" applyFont="1" applyAlignment="1">
      <alignment horizontal="right" wrapText="1"/>
    </xf>
    <xf numFmtId="0" fontId="34" fillId="0" borderId="0" xfId="0" applyFont="1" applyAlignment="1">
      <alignment horizontal="left" wrapText="1"/>
    </xf>
    <xf numFmtId="165" fontId="35" fillId="0" borderId="0" xfId="0" applyNumberFormat="1" applyFont="1" applyAlignment="1">
      <alignment horizontal="right" wrapText="1"/>
    </xf>
    <xf numFmtId="0" fontId="36" fillId="0" borderId="0" xfId="0" applyFont="1" applyAlignment="1">
      <alignment horizontal="left" wrapText="1"/>
    </xf>
    <xf numFmtId="165" fontId="37" fillId="0" borderId="0" xfId="0" applyNumberFormat="1" applyFont="1" applyAlignment="1">
      <alignment horizontal="right" wrapText="1"/>
    </xf>
    <xf numFmtId="0" fontId="38" fillId="0" borderId="0" xfId="0" applyFont="1" applyAlignment="1">
      <alignment horizontal="left" wrapText="1"/>
    </xf>
    <xf numFmtId="165" fontId="39" fillId="0" borderId="0" xfId="0" applyNumberFormat="1" applyFont="1" applyAlignment="1">
      <alignment horizontal="right" wrapText="1"/>
    </xf>
    <xf numFmtId="0" fontId="40" fillId="0" borderId="0" xfId="0" applyFont="1" applyAlignment="1">
      <alignment horizontal="left" wrapText="1"/>
    </xf>
    <xf numFmtId="165" fontId="41" fillId="0" borderId="0" xfId="0" applyNumberFormat="1" applyFont="1" applyAlignment="1">
      <alignment horizontal="right" wrapText="1"/>
    </xf>
    <xf numFmtId="0" fontId="42" fillId="0" borderId="0" xfId="0" applyFont="1" applyAlignment="1">
      <alignment horizontal="left" wrapText="1"/>
    </xf>
    <xf numFmtId="165" fontId="43" fillId="0" borderId="0" xfId="0" applyNumberFormat="1" applyFont="1" applyAlignment="1">
      <alignment horizontal="right" wrapText="1"/>
    </xf>
    <xf numFmtId="0" fontId="44" fillId="0" borderId="0" xfId="0" applyFont="1" applyAlignment="1">
      <alignment horizontal="left" wrapText="1"/>
    </xf>
    <xf numFmtId="165" fontId="45" fillId="0" borderId="0" xfId="0" applyNumberFormat="1" applyFont="1" applyAlignment="1">
      <alignment horizontal="right" wrapText="1"/>
    </xf>
    <xf numFmtId="0" fontId="46" fillId="0" borderId="0" xfId="0" applyFont="1" applyAlignment="1">
      <alignment horizontal="left" wrapText="1"/>
    </xf>
    <xf numFmtId="165" fontId="47" fillId="0" borderId="0" xfId="0" applyNumberFormat="1" applyFont="1" applyAlignment="1">
      <alignment horizontal="right" wrapText="1"/>
    </xf>
    <xf numFmtId="0" fontId="48" fillId="0" borderId="0" xfId="0" applyFont="1" applyAlignment="1">
      <alignment horizontal="left" wrapText="1"/>
    </xf>
    <xf numFmtId="165" fontId="49" fillId="0" borderId="0" xfId="0" applyNumberFormat="1" applyFont="1" applyAlignment="1">
      <alignment horizontal="right" wrapText="1"/>
    </xf>
    <xf numFmtId="0" fontId="50" fillId="0" borderId="0" xfId="0" applyFont="1" applyAlignment="1">
      <alignment horizontal="left" wrapText="1"/>
    </xf>
    <xf numFmtId="165" fontId="51" fillId="0" borderId="0" xfId="0" applyNumberFormat="1" applyFont="1" applyAlignment="1">
      <alignment horizontal="right" wrapText="1"/>
    </xf>
    <xf numFmtId="0" fontId="52" fillId="0" borderId="0" xfId="0" applyFont="1" applyAlignment="1">
      <alignment horizontal="left" wrapText="1"/>
    </xf>
    <xf numFmtId="165" fontId="53" fillId="0" borderId="0" xfId="0" applyNumberFormat="1" applyFont="1" applyAlignment="1">
      <alignment horizontal="right" wrapText="1"/>
    </xf>
    <xf numFmtId="0" fontId="54" fillId="0" borderId="0" xfId="0" applyFont="1" applyAlignment="1">
      <alignment horizontal="left" wrapText="1"/>
    </xf>
    <xf numFmtId="165" fontId="55" fillId="0" borderId="0" xfId="0" applyNumberFormat="1" applyFont="1" applyAlignment="1">
      <alignment horizontal="right" wrapText="1"/>
    </xf>
    <xf numFmtId="0" fontId="56" fillId="0" borderId="0" xfId="0" applyFont="1" applyAlignment="1">
      <alignment horizontal="left" wrapText="1"/>
    </xf>
    <xf numFmtId="165" fontId="57" fillId="0" borderId="0" xfId="0" applyNumberFormat="1" applyFont="1" applyAlignment="1">
      <alignment horizontal="right" wrapText="1"/>
    </xf>
    <xf numFmtId="0" fontId="58" fillId="0" borderId="0" xfId="0" applyFont="1" applyAlignment="1">
      <alignment horizontal="left" wrapText="1"/>
    </xf>
    <xf numFmtId="165" fontId="59" fillId="0" borderId="0" xfId="0" applyNumberFormat="1" applyFont="1" applyAlignment="1">
      <alignment horizontal="right" wrapText="1"/>
    </xf>
    <xf numFmtId="0" fontId="60" fillId="0" borderId="0" xfId="0" applyFont="1" applyAlignment="1">
      <alignment horizontal="left" wrapText="1"/>
    </xf>
    <xf numFmtId="165" fontId="61" fillId="0" borderId="0" xfId="0" applyNumberFormat="1" applyFont="1" applyAlignment="1">
      <alignment horizontal="right" wrapText="1"/>
    </xf>
    <xf numFmtId="0" fontId="62" fillId="0" borderId="0" xfId="0" applyFont="1" applyAlignment="1">
      <alignment horizontal="left" wrapText="1"/>
    </xf>
    <xf numFmtId="165" fontId="63" fillId="0" borderId="0" xfId="0" applyNumberFormat="1" applyFont="1" applyAlignment="1">
      <alignment horizontal="right" wrapText="1"/>
    </xf>
    <xf numFmtId="0" fontId="64" fillId="0" borderId="0" xfId="0" applyFont="1" applyAlignment="1">
      <alignment horizontal="left" wrapText="1"/>
    </xf>
    <xf numFmtId="165" fontId="65" fillId="0" borderId="0" xfId="0" applyNumberFormat="1" applyFont="1" applyAlignment="1">
      <alignment horizontal="right" wrapText="1"/>
    </xf>
    <xf numFmtId="0" fontId="66" fillId="0" borderId="0" xfId="0" applyFont="1" applyAlignment="1">
      <alignment horizontal="left" wrapText="1"/>
    </xf>
    <xf numFmtId="165" fontId="67" fillId="0" borderId="0" xfId="0" applyNumberFormat="1" applyFont="1" applyAlignment="1">
      <alignment horizontal="right" wrapText="1"/>
    </xf>
    <xf numFmtId="0" fontId="68" fillId="0" borderId="0" xfId="0" applyFont="1" applyAlignment="1">
      <alignment horizontal="left" wrapText="1"/>
    </xf>
    <xf numFmtId="165" fontId="69" fillId="0" borderId="0" xfId="0" applyNumberFormat="1" applyFont="1" applyAlignment="1">
      <alignment horizontal="right" wrapText="1"/>
    </xf>
    <xf numFmtId="0" fontId="70" fillId="0" borderId="0" xfId="0" applyFont="1" applyAlignment="1">
      <alignment horizontal="left" wrapText="1"/>
    </xf>
    <xf numFmtId="165" fontId="71" fillId="0" borderId="0" xfId="0" applyNumberFormat="1" applyFont="1" applyAlignment="1">
      <alignment horizontal="right" wrapText="1"/>
    </xf>
    <xf numFmtId="0" fontId="72" fillId="0" borderId="0" xfId="0" applyFont="1" applyAlignment="1">
      <alignment horizontal="left" wrapText="1"/>
    </xf>
    <xf numFmtId="165" fontId="73" fillId="0" borderId="0" xfId="0" applyNumberFormat="1" applyFont="1" applyAlignment="1">
      <alignment horizontal="right" wrapText="1"/>
    </xf>
    <xf numFmtId="0" fontId="74" fillId="0" borderId="0" xfId="0" applyFont="1" applyAlignment="1">
      <alignment horizontal="left" wrapText="1"/>
    </xf>
    <xf numFmtId="165" fontId="75" fillId="0" borderId="0" xfId="0" applyNumberFormat="1" applyFont="1" applyAlignment="1">
      <alignment horizontal="right" wrapText="1"/>
    </xf>
    <xf numFmtId="0" fontId="76" fillId="0" borderId="0" xfId="0" applyFont="1" applyAlignment="1">
      <alignment horizontal="left" wrapText="1"/>
    </xf>
    <xf numFmtId="165" fontId="77" fillId="0" borderId="0" xfId="0" applyNumberFormat="1" applyFont="1" applyAlignment="1">
      <alignment horizontal="right" wrapText="1"/>
    </xf>
    <xf numFmtId="0" fontId="78" fillId="0" borderId="0" xfId="0" applyFont="1" applyAlignment="1">
      <alignment horizontal="left" wrapText="1"/>
    </xf>
    <xf numFmtId="165" fontId="79" fillId="0" borderId="0" xfId="0" applyNumberFormat="1" applyFont="1" applyAlignment="1">
      <alignment horizontal="right" wrapText="1"/>
    </xf>
    <xf numFmtId="0" fontId="80" fillId="0" borderId="0" xfId="0" applyFont="1" applyAlignment="1">
      <alignment horizontal="left" wrapText="1"/>
    </xf>
    <xf numFmtId="165" fontId="81" fillId="0" borderId="0" xfId="0" applyNumberFormat="1" applyFont="1" applyAlignment="1">
      <alignment horizontal="right" wrapText="1"/>
    </xf>
    <xf numFmtId="0" fontId="82" fillId="0" borderId="0" xfId="0" applyFont="1" applyAlignment="1">
      <alignment horizontal="left" wrapText="1"/>
    </xf>
    <xf numFmtId="165" fontId="83" fillId="0" borderId="0" xfId="0" applyNumberFormat="1" applyFont="1" applyAlignment="1">
      <alignment horizontal="right" wrapText="1"/>
    </xf>
    <xf numFmtId="0" fontId="84" fillId="0" borderId="0" xfId="0" applyFont="1" applyAlignment="1">
      <alignment horizontal="left" wrapText="1"/>
    </xf>
    <xf numFmtId="165" fontId="85" fillId="0" borderId="0" xfId="0" applyNumberFormat="1" applyFont="1" applyAlignment="1">
      <alignment horizontal="right" wrapText="1"/>
    </xf>
    <xf numFmtId="0" fontId="86" fillId="0" borderId="0" xfId="0" applyFont="1" applyAlignment="1">
      <alignment horizontal="left" wrapText="1"/>
    </xf>
    <xf numFmtId="165" fontId="87" fillId="0" borderId="0" xfId="0" applyNumberFormat="1" applyFont="1" applyAlignment="1">
      <alignment horizontal="right" wrapText="1"/>
    </xf>
    <xf numFmtId="0" fontId="88" fillId="0" borderId="0" xfId="0" applyFont="1" applyAlignment="1">
      <alignment horizontal="left" wrapText="1"/>
    </xf>
    <xf numFmtId="165" fontId="89" fillId="0" borderId="0" xfId="0" applyNumberFormat="1" applyFont="1" applyAlignment="1">
      <alignment horizontal="right" wrapText="1"/>
    </xf>
    <xf numFmtId="0" fontId="90" fillId="0" borderId="0" xfId="0" applyFont="1" applyAlignment="1">
      <alignment horizontal="left" wrapText="1"/>
    </xf>
    <xf numFmtId="165" fontId="91" fillId="0" borderId="0" xfId="0" applyNumberFormat="1" applyFont="1" applyAlignment="1">
      <alignment horizontal="right" wrapText="1"/>
    </xf>
    <xf numFmtId="0" fontId="92" fillId="0" borderId="0" xfId="0" applyFont="1" applyAlignment="1">
      <alignment horizontal="left" wrapText="1"/>
    </xf>
    <xf numFmtId="165" fontId="93" fillId="0" borderId="0" xfId="0" applyNumberFormat="1" applyFont="1" applyAlignment="1">
      <alignment horizontal="right" wrapText="1"/>
    </xf>
    <xf numFmtId="0" fontId="94" fillId="0" borderId="0" xfId="0" applyFont="1" applyAlignment="1">
      <alignment horizontal="left" wrapText="1"/>
    </xf>
    <xf numFmtId="165" fontId="95" fillId="0" borderId="0" xfId="0" applyNumberFormat="1" applyFont="1" applyAlignment="1">
      <alignment horizontal="right" wrapText="1"/>
    </xf>
    <xf numFmtId="0" fontId="96" fillId="0" borderId="0" xfId="0" applyFont="1" applyAlignment="1">
      <alignment horizontal="left" wrapText="1"/>
    </xf>
    <xf numFmtId="165" fontId="97" fillId="0" borderId="0" xfId="0" applyNumberFormat="1" applyFont="1" applyAlignment="1">
      <alignment horizontal="right" wrapText="1"/>
    </xf>
    <xf numFmtId="0" fontId="98" fillId="0" borderId="0" xfId="0" applyFont="1" applyAlignment="1">
      <alignment horizontal="left" wrapText="1"/>
    </xf>
    <xf numFmtId="165" fontId="99" fillId="0" borderId="0" xfId="0" applyNumberFormat="1" applyFont="1" applyAlignment="1">
      <alignment horizontal="right" wrapText="1"/>
    </xf>
    <xf numFmtId="0" fontId="100" fillId="0" borderId="0" xfId="0" applyFont="1" applyAlignment="1">
      <alignment horizontal="left" wrapText="1"/>
    </xf>
    <xf numFmtId="165" fontId="101" fillId="0" borderId="0" xfId="0" applyNumberFormat="1" applyFont="1" applyAlignment="1">
      <alignment horizontal="right" wrapText="1"/>
    </xf>
    <xf numFmtId="0" fontId="102" fillId="0" borderId="0" xfId="0" applyFont="1" applyAlignment="1">
      <alignment horizontal="left" wrapText="1"/>
    </xf>
    <xf numFmtId="165" fontId="103" fillId="0" borderId="0" xfId="0" applyNumberFormat="1" applyFont="1" applyAlignment="1">
      <alignment horizontal="right" wrapText="1"/>
    </xf>
    <xf numFmtId="0" fontId="104" fillId="0" borderId="0" xfId="0" applyFont="1" applyAlignment="1">
      <alignment horizontal="left" wrapText="1"/>
    </xf>
    <xf numFmtId="165" fontId="105" fillId="0" borderId="0" xfId="0" applyNumberFormat="1" applyFont="1" applyAlignment="1">
      <alignment horizontal="right" wrapText="1"/>
    </xf>
    <xf numFmtId="0" fontId="106" fillId="0" borderId="0" xfId="0" applyFont="1" applyAlignment="1">
      <alignment horizontal="left" wrapText="1"/>
    </xf>
    <xf numFmtId="165" fontId="107" fillId="0" borderId="0" xfId="0" applyNumberFormat="1" applyFont="1" applyAlignment="1">
      <alignment horizontal="right" wrapText="1"/>
    </xf>
    <xf numFmtId="0" fontId="108" fillId="0" borderId="0" xfId="0" applyFont="1" applyAlignment="1">
      <alignment horizontal="left" wrapText="1"/>
    </xf>
    <xf numFmtId="165" fontId="109" fillId="0" borderId="0" xfId="0" applyNumberFormat="1" applyFont="1" applyAlignment="1">
      <alignment horizontal="right" wrapText="1"/>
    </xf>
    <xf numFmtId="0" fontId="110" fillId="0" borderId="0" xfId="0" applyFont="1" applyAlignment="1">
      <alignment horizontal="left" wrapText="1"/>
    </xf>
    <xf numFmtId="165" fontId="111" fillId="0" borderId="0" xfId="0" applyNumberFormat="1" applyFont="1" applyAlignment="1">
      <alignment horizontal="right" wrapText="1"/>
    </xf>
    <xf numFmtId="0" fontId="112" fillId="0" borderId="0" xfId="0" applyFont="1" applyAlignment="1">
      <alignment horizontal="left" wrapText="1"/>
    </xf>
    <xf numFmtId="165" fontId="113" fillId="0" borderId="0" xfId="0" applyNumberFormat="1" applyFont="1" applyAlignment="1">
      <alignment horizontal="right" wrapText="1"/>
    </xf>
    <xf numFmtId="0" fontId="114" fillId="0" borderId="0" xfId="0" applyFont="1" applyAlignment="1">
      <alignment horizontal="left" wrapText="1"/>
    </xf>
    <xf numFmtId="165" fontId="115" fillId="0" borderId="0" xfId="0" applyNumberFormat="1" applyFont="1" applyAlignment="1">
      <alignment horizontal="right" wrapText="1"/>
    </xf>
    <xf numFmtId="0" fontId="116" fillId="0" borderId="0" xfId="0" applyFont="1" applyAlignment="1">
      <alignment horizontal="left" wrapText="1"/>
    </xf>
    <xf numFmtId="165" fontId="117" fillId="0" borderId="0" xfId="0" applyNumberFormat="1" applyFont="1" applyAlignment="1">
      <alignment horizontal="right" wrapText="1"/>
    </xf>
    <xf numFmtId="0" fontId="118" fillId="0" borderId="0" xfId="0" applyFont="1" applyAlignment="1">
      <alignment horizontal="left" wrapText="1"/>
    </xf>
    <xf numFmtId="165" fontId="119" fillId="0" borderId="0" xfId="0" applyNumberFormat="1" applyFont="1" applyAlignment="1">
      <alignment horizontal="right" wrapText="1"/>
    </xf>
    <xf numFmtId="0" fontId="120" fillId="0" borderId="0" xfId="0" applyFont="1" applyAlignment="1">
      <alignment horizontal="left" wrapText="1"/>
    </xf>
    <xf numFmtId="165" fontId="121" fillId="0" borderId="0" xfId="0" applyNumberFormat="1" applyFont="1" applyAlignment="1">
      <alignment horizontal="right" wrapText="1"/>
    </xf>
    <xf numFmtId="0" fontId="122" fillId="0" borderId="0" xfId="0" applyFont="1" applyAlignment="1">
      <alignment horizontal="left" wrapText="1"/>
    </xf>
    <xf numFmtId="165" fontId="123" fillId="0" borderId="0" xfId="0" applyNumberFormat="1" applyFont="1" applyAlignment="1">
      <alignment horizontal="right" wrapText="1"/>
    </xf>
    <xf numFmtId="0" fontId="124" fillId="0" borderId="0" xfId="0" applyFont="1" applyAlignment="1">
      <alignment horizontal="left" wrapText="1"/>
    </xf>
    <xf numFmtId="165" fontId="125" fillId="0" borderId="0" xfId="0" applyNumberFormat="1" applyFont="1" applyAlignment="1">
      <alignment horizontal="right" wrapText="1"/>
    </xf>
    <xf numFmtId="0" fontId="126" fillId="0" borderId="0" xfId="0" applyFont="1" applyAlignment="1">
      <alignment horizontal="left" wrapText="1"/>
    </xf>
    <xf numFmtId="165" fontId="127" fillId="0" borderId="0" xfId="0" applyNumberFormat="1" applyFont="1" applyAlignment="1">
      <alignment horizontal="right" wrapText="1"/>
    </xf>
    <xf numFmtId="0" fontId="128" fillId="0" borderId="0" xfId="0" applyFont="1" applyAlignment="1">
      <alignment horizontal="left" wrapText="1"/>
    </xf>
    <xf numFmtId="165" fontId="129" fillId="0" borderId="0" xfId="0" applyNumberFormat="1" applyFont="1" applyAlignment="1">
      <alignment horizontal="right" wrapText="1"/>
    </xf>
    <xf numFmtId="0" fontId="130" fillId="0" borderId="0" xfId="0" applyFont="1" applyAlignment="1">
      <alignment horizontal="left" wrapText="1"/>
    </xf>
    <xf numFmtId="165" fontId="131" fillId="0" borderId="0" xfId="0" applyNumberFormat="1" applyFont="1" applyAlignment="1">
      <alignment horizontal="right" wrapText="1"/>
    </xf>
    <xf numFmtId="0" fontId="132" fillId="0" borderId="0" xfId="0" applyFont="1" applyAlignment="1">
      <alignment horizontal="left" wrapText="1"/>
    </xf>
    <xf numFmtId="165" fontId="133" fillId="0" borderId="0" xfId="0" applyNumberFormat="1" applyFont="1" applyAlignment="1">
      <alignment horizontal="right" wrapText="1"/>
    </xf>
    <xf numFmtId="0" fontId="134" fillId="0" borderId="0" xfId="0" applyFont="1" applyAlignment="1">
      <alignment horizontal="left" wrapText="1"/>
    </xf>
    <xf numFmtId="165" fontId="135" fillId="0" borderId="0" xfId="0" applyNumberFormat="1" applyFont="1" applyAlignment="1">
      <alignment horizontal="right" wrapText="1"/>
    </xf>
    <xf numFmtId="0" fontId="136" fillId="0" borderId="0" xfId="0" applyFont="1" applyAlignment="1">
      <alignment horizontal="left" wrapText="1"/>
    </xf>
    <xf numFmtId="165" fontId="137" fillId="0" borderId="0" xfId="0" applyNumberFormat="1" applyFont="1" applyAlignment="1">
      <alignment horizontal="right" wrapText="1"/>
    </xf>
    <xf numFmtId="0" fontId="138" fillId="0" borderId="0" xfId="0" applyFont="1" applyAlignment="1">
      <alignment horizontal="left" wrapText="1"/>
    </xf>
    <xf numFmtId="165" fontId="139" fillId="0" borderId="0" xfId="0" applyNumberFormat="1" applyFont="1" applyAlignment="1">
      <alignment horizontal="right" wrapText="1"/>
    </xf>
    <xf numFmtId="0" fontId="140" fillId="0" borderId="0" xfId="0" applyFont="1" applyAlignment="1">
      <alignment horizontal="left" wrapText="1"/>
    </xf>
    <xf numFmtId="165" fontId="141" fillId="0" borderId="0" xfId="0" applyNumberFormat="1" applyFont="1" applyAlignment="1">
      <alignment horizontal="right" wrapText="1"/>
    </xf>
    <xf numFmtId="0" fontId="142" fillId="0" borderId="0" xfId="0" applyFont="1" applyAlignment="1">
      <alignment horizontal="left" wrapText="1"/>
    </xf>
    <xf numFmtId="165" fontId="143" fillId="0" borderId="0" xfId="0" applyNumberFormat="1" applyFont="1" applyAlignment="1">
      <alignment horizontal="right" wrapText="1"/>
    </xf>
    <xf numFmtId="0" fontId="144" fillId="0" borderId="0" xfId="0" applyFont="1" applyAlignment="1">
      <alignment horizontal="left" wrapText="1"/>
    </xf>
    <xf numFmtId="165" fontId="145" fillId="0" borderId="0" xfId="0" applyNumberFormat="1" applyFont="1" applyAlignment="1">
      <alignment horizontal="right" wrapText="1"/>
    </xf>
    <xf numFmtId="0" fontId="146" fillId="0" borderId="0" xfId="0" applyFont="1" applyAlignment="1">
      <alignment horizontal="left" wrapText="1"/>
    </xf>
    <xf numFmtId="165" fontId="147" fillId="0" borderId="0" xfId="0" applyNumberFormat="1" applyFont="1" applyAlignment="1">
      <alignment horizontal="right" wrapText="1"/>
    </xf>
    <xf numFmtId="0" fontId="148" fillId="0" borderId="0" xfId="0" applyFont="1" applyAlignment="1">
      <alignment horizontal="left" wrapText="1"/>
    </xf>
    <xf numFmtId="165" fontId="149" fillId="0" borderId="0" xfId="0" applyNumberFormat="1" applyFont="1" applyAlignment="1">
      <alignment horizontal="right" wrapText="1"/>
    </xf>
    <xf numFmtId="0" fontId="150" fillId="0" borderId="0" xfId="0" applyFont="1" applyAlignment="1">
      <alignment horizontal="left" wrapText="1"/>
    </xf>
    <xf numFmtId="165" fontId="151" fillId="0" borderId="0" xfId="0" applyNumberFormat="1" applyFont="1" applyAlignment="1">
      <alignment horizontal="right" wrapText="1"/>
    </xf>
    <xf numFmtId="0" fontId="152" fillId="0" borderId="0" xfId="0" applyFont="1" applyAlignment="1">
      <alignment horizontal="left" wrapText="1"/>
    </xf>
    <xf numFmtId="165" fontId="153" fillId="0" borderId="0" xfId="0" applyNumberFormat="1" applyFont="1" applyAlignment="1">
      <alignment horizontal="right" wrapText="1"/>
    </xf>
    <xf numFmtId="0" fontId="154" fillId="0" borderId="0" xfId="0" applyFont="1" applyAlignment="1">
      <alignment horizontal="left" wrapText="1"/>
    </xf>
    <xf numFmtId="165" fontId="155" fillId="0" borderId="0" xfId="0" applyNumberFormat="1" applyFont="1" applyAlignment="1">
      <alignment horizontal="right" wrapText="1"/>
    </xf>
    <xf numFmtId="0" fontId="156" fillId="0" borderId="0" xfId="0" applyFont="1" applyAlignment="1">
      <alignment horizontal="left" wrapText="1"/>
    </xf>
    <xf numFmtId="165" fontId="157" fillId="0" borderId="0" xfId="0" applyNumberFormat="1" applyFont="1" applyAlignment="1">
      <alignment horizontal="right" wrapText="1"/>
    </xf>
    <xf numFmtId="0" fontId="158" fillId="0" borderId="0" xfId="0" applyFont="1" applyAlignment="1">
      <alignment horizontal="left" wrapText="1"/>
    </xf>
    <xf numFmtId="165" fontId="159" fillId="0" borderId="0" xfId="0" applyNumberFormat="1" applyFont="1" applyAlignment="1">
      <alignment horizontal="right" wrapText="1"/>
    </xf>
    <xf numFmtId="0" fontId="160" fillId="0" borderId="0" xfId="0" applyFont="1" applyAlignment="1">
      <alignment horizontal="left" wrapText="1"/>
    </xf>
    <xf numFmtId="165" fontId="161" fillId="0" borderId="0" xfId="0" applyNumberFormat="1" applyFont="1" applyAlignment="1">
      <alignment horizontal="right" wrapText="1"/>
    </xf>
    <xf numFmtId="0" fontId="162" fillId="0" borderId="0" xfId="0" applyFont="1" applyAlignment="1">
      <alignment horizontal="left" wrapText="1"/>
    </xf>
    <xf numFmtId="165" fontId="163" fillId="0" borderId="0" xfId="0" applyNumberFormat="1" applyFont="1" applyAlignment="1">
      <alignment horizontal="right" wrapText="1"/>
    </xf>
    <xf numFmtId="0" fontId="164" fillId="0" borderId="0" xfId="0" applyFont="1" applyAlignment="1">
      <alignment horizontal="left" wrapText="1"/>
    </xf>
    <xf numFmtId="165" fontId="165" fillId="0" borderId="0" xfId="0" applyNumberFormat="1" applyFont="1" applyAlignment="1">
      <alignment horizontal="right" wrapText="1"/>
    </xf>
    <xf numFmtId="0" fontId="166" fillId="0" borderId="0" xfId="0" applyFont="1" applyAlignment="1">
      <alignment horizontal="left" wrapText="1"/>
    </xf>
    <xf numFmtId="165" fontId="167" fillId="0" borderId="0" xfId="0" applyNumberFormat="1" applyFont="1" applyAlignment="1">
      <alignment horizontal="right" wrapText="1"/>
    </xf>
    <xf numFmtId="0" fontId="168" fillId="0" borderId="0" xfId="0" applyFont="1" applyAlignment="1">
      <alignment horizontal="left" wrapText="1"/>
    </xf>
    <xf numFmtId="165" fontId="169" fillId="0" borderId="0" xfId="0" applyNumberFormat="1" applyFont="1" applyAlignment="1">
      <alignment horizontal="right" wrapText="1"/>
    </xf>
    <xf numFmtId="0" fontId="170" fillId="0" borderId="0" xfId="0" applyFont="1" applyAlignment="1">
      <alignment horizontal="left" wrapText="1"/>
    </xf>
    <xf numFmtId="165" fontId="171" fillId="0" borderId="0" xfId="0" applyNumberFormat="1" applyFont="1" applyAlignment="1">
      <alignment horizontal="right" wrapText="1"/>
    </xf>
    <xf numFmtId="0" fontId="172" fillId="0" borderId="0" xfId="0" applyFont="1" applyAlignment="1">
      <alignment horizontal="left" wrapText="1"/>
    </xf>
    <xf numFmtId="165" fontId="173" fillId="0" borderId="0" xfId="0" applyNumberFormat="1" applyFont="1" applyAlignment="1">
      <alignment horizontal="right" wrapText="1"/>
    </xf>
    <xf numFmtId="0" fontId="174" fillId="0" borderId="0" xfId="0" applyFont="1" applyAlignment="1">
      <alignment horizontal="left" wrapText="1"/>
    </xf>
    <xf numFmtId="165" fontId="175" fillId="0" borderId="0" xfId="0" applyNumberFormat="1" applyFont="1" applyAlignment="1">
      <alignment horizontal="right" wrapText="1"/>
    </xf>
    <xf numFmtId="0" fontId="176" fillId="0" borderId="0" xfId="0" applyFont="1" applyAlignment="1">
      <alignment horizontal="left" wrapText="1"/>
    </xf>
    <xf numFmtId="165" fontId="177" fillId="0" borderId="0" xfId="0" applyNumberFormat="1" applyFont="1" applyAlignment="1">
      <alignment horizontal="right" wrapText="1"/>
    </xf>
    <xf numFmtId="0" fontId="178" fillId="0" borderId="0" xfId="0" applyFont="1" applyAlignment="1">
      <alignment horizontal="left" wrapText="1"/>
    </xf>
    <xf numFmtId="165" fontId="179" fillId="0" borderId="0" xfId="0" applyNumberFormat="1" applyFont="1" applyAlignment="1">
      <alignment horizontal="right" wrapText="1"/>
    </xf>
    <xf numFmtId="0" fontId="180" fillId="0" borderId="0" xfId="0" applyFont="1" applyAlignment="1">
      <alignment horizontal="left" wrapText="1"/>
    </xf>
    <xf numFmtId="165" fontId="181" fillId="0" borderId="0" xfId="0" applyNumberFormat="1" applyFont="1" applyAlignment="1">
      <alignment horizontal="right" wrapText="1"/>
    </xf>
    <xf numFmtId="0" fontId="182" fillId="0" borderId="0" xfId="0" applyFont="1" applyAlignment="1">
      <alignment horizontal="left" wrapText="1"/>
    </xf>
    <xf numFmtId="165" fontId="183" fillId="0" borderId="0" xfId="0" applyNumberFormat="1" applyFont="1" applyAlignment="1">
      <alignment horizontal="right" wrapText="1"/>
    </xf>
    <xf numFmtId="0" fontId="184" fillId="0" borderId="0" xfId="0" applyFont="1" applyAlignment="1">
      <alignment horizontal="left" wrapText="1"/>
    </xf>
    <xf numFmtId="165" fontId="185" fillId="0" borderId="0" xfId="0" applyNumberFormat="1" applyFont="1" applyAlignment="1">
      <alignment horizontal="right" wrapText="1"/>
    </xf>
    <xf numFmtId="0" fontId="186" fillId="0" borderId="0" xfId="0" applyFont="1" applyAlignment="1">
      <alignment horizontal="left" wrapText="1"/>
    </xf>
    <xf numFmtId="165" fontId="187" fillId="0" borderId="0" xfId="0" applyNumberFormat="1" applyFont="1" applyAlignment="1">
      <alignment horizontal="right" wrapText="1"/>
    </xf>
    <xf numFmtId="0" fontId="188" fillId="0" borderId="0" xfId="0" applyFont="1" applyAlignment="1">
      <alignment horizontal="left" wrapText="1"/>
    </xf>
    <xf numFmtId="165" fontId="189" fillId="0" borderId="0" xfId="0" applyNumberFormat="1" applyFont="1" applyAlignment="1">
      <alignment horizontal="right" wrapText="1"/>
    </xf>
    <xf numFmtId="0" fontId="190" fillId="0" borderId="0" xfId="0" applyFont="1" applyAlignment="1">
      <alignment horizontal="left" wrapText="1"/>
    </xf>
    <xf numFmtId="165" fontId="191" fillId="0" borderId="0" xfId="0" applyNumberFormat="1" applyFont="1" applyAlignment="1">
      <alignment horizontal="right" wrapText="1"/>
    </xf>
    <xf numFmtId="0" fontId="192" fillId="0" borderId="0" xfId="0" applyFont="1" applyAlignment="1">
      <alignment horizontal="left" wrapText="1"/>
    </xf>
    <xf numFmtId="165" fontId="193" fillId="0" borderId="0" xfId="0" applyNumberFormat="1" applyFont="1" applyAlignment="1">
      <alignment horizontal="right" wrapText="1"/>
    </xf>
    <xf numFmtId="0" fontId="194" fillId="0" borderId="0" xfId="0" applyFont="1" applyAlignment="1">
      <alignment horizontal="left" wrapText="1"/>
    </xf>
    <xf numFmtId="165" fontId="195" fillId="0" borderId="0" xfId="0" applyNumberFormat="1" applyFont="1" applyAlignment="1">
      <alignment horizontal="right" wrapText="1"/>
    </xf>
    <xf numFmtId="0" fontId="196" fillId="0" borderId="0" xfId="0" applyFont="1" applyAlignment="1">
      <alignment horizontal="left" wrapText="1"/>
    </xf>
    <xf numFmtId="165" fontId="197" fillId="0" borderId="0" xfId="0" applyNumberFormat="1" applyFont="1" applyAlignment="1">
      <alignment horizontal="right" wrapText="1"/>
    </xf>
    <xf numFmtId="0" fontId="198" fillId="0" borderId="0" xfId="0" applyFont="1" applyAlignment="1">
      <alignment horizontal="left" wrapText="1"/>
    </xf>
    <xf numFmtId="165" fontId="199" fillId="0" borderId="0" xfId="0" applyNumberFormat="1" applyFont="1" applyAlignment="1">
      <alignment horizontal="right" wrapText="1"/>
    </xf>
    <xf numFmtId="0" fontId="200" fillId="0" borderId="0" xfId="0" applyFont="1" applyAlignment="1">
      <alignment horizontal="left" wrapText="1"/>
    </xf>
    <xf numFmtId="165" fontId="201" fillId="0" borderId="0" xfId="0" applyNumberFormat="1" applyFont="1" applyAlignment="1">
      <alignment horizontal="right" wrapText="1"/>
    </xf>
    <xf numFmtId="0" fontId="202" fillId="0" borderId="0" xfId="0" applyFont="1" applyAlignment="1">
      <alignment horizontal="left" wrapText="1"/>
    </xf>
    <xf numFmtId="165" fontId="203" fillId="0" borderId="0" xfId="0" applyNumberFormat="1" applyFont="1" applyAlignment="1">
      <alignment horizontal="right" wrapText="1"/>
    </xf>
    <xf numFmtId="0" fontId="204" fillId="0" borderId="0" xfId="0" applyFont="1" applyAlignment="1">
      <alignment horizontal="left" wrapText="1"/>
    </xf>
    <xf numFmtId="165" fontId="205" fillId="0" borderId="0" xfId="0" applyNumberFormat="1" applyFont="1" applyAlignment="1">
      <alignment horizontal="right" wrapText="1"/>
    </xf>
    <xf numFmtId="0" fontId="206" fillId="0" borderId="0" xfId="0" applyFont="1" applyAlignment="1">
      <alignment horizontal="left" wrapText="1"/>
    </xf>
    <xf numFmtId="165" fontId="207" fillId="0" borderId="0" xfId="0" applyNumberFormat="1" applyFont="1" applyAlignment="1">
      <alignment horizontal="right" wrapText="1"/>
    </xf>
    <xf numFmtId="0" fontId="208" fillId="0" borderId="0" xfId="0" applyFont="1" applyAlignment="1">
      <alignment horizontal="left" wrapText="1"/>
    </xf>
    <xf numFmtId="165" fontId="209" fillId="0" borderId="0" xfId="0" applyNumberFormat="1" applyFont="1" applyAlignment="1">
      <alignment horizontal="right" wrapText="1"/>
    </xf>
    <xf numFmtId="0" fontId="210" fillId="0" borderId="0" xfId="0" applyFont="1" applyAlignment="1">
      <alignment horizontal="left" wrapText="1"/>
    </xf>
    <xf numFmtId="165" fontId="211" fillId="0" borderId="0" xfId="0" applyNumberFormat="1" applyFont="1" applyAlignment="1">
      <alignment horizontal="right" wrapText="1"/>
    </xf>
    <xf numFmtId="0" fontId="212" fillId="0" borderId="0" xfId="0" applyFont="1" applyAlignment="1">
      <alignment horizontal="left" wrapText="1"/>
    </xf>
    <xf numFmtId="165" fontId="213" fillId="0" borderId="0" xfId="0" applyNumberFormat="1" applyFont="1" applyAlignment="1">
      <alignment horizontal="right" wrapText="1"/>
    </xf>
    <xf numFmtId="0" fontId="214" fillId="0" borderId="0" xfId="0" applyFont="1" applyAlignment="1">
      <alignment horizontal="left" wrapText="1"/>
    </xf>
    <xf numFmtId="165" fontId="215" fillId="0" borderId="0" xfId="0" applyNumberFormat="1" applyFont="1" applyAlignment="1">
      <alignment horizontal="right" wrapText="1"/>
    </xf>
    <xf numFmtId="0" fontId="216" fillId="0" borderId="0" xfId="0" applyFont="1" applyAlignment="1">
      <alignment horizontal="left" wrapText="1"/>
    </xf>
    <xf numFmtId="165" fontId="217" fillId="0" borderId="0" xfId="0" applyNumberFormat="1" applyFont="1" applyAlignment="1">
      <alignment horizontal="right" wrapText="1"/>
    </xf>
    <xf numFmtId="0" fontId="218" fillId="0" borderId="0" xfId="0" applyFont="1" applyAlignment="1">
      <alignment horizontal="left" wrapText="1"/>
    </xf>
    <xf numFmtId="165" fontId="219" fillId="0" borderId="0" xfId="0" applyNumberFormat="1" applyFont="1" applyAlignment="1">
      <alignment horizontal="right" wrapText="1"/>
    </xf>
    <xf numFmtId="0" fontId="220" fillId="0" borderId="0" xfId="0" applyFont="1" applyAlignment="1">
      <alignment horizontal="left" wrapText="1"/>
    </xf>
    <xf numFmtId="165" fontId="221" fillId="0" borderId="0" xfId="0" applyNumberFormat="1" applyFont="1" applyAlignment="1">
      <alignment horizontal="right" wrapText="1"/>
    </xf>
    <xf numFmtId="0" fontId="222" fillId="0" borderId="0" xfId="0" applyFont="1" applyAlignment="1">
      <alignment horizontal="left" wrapText="1"/>
    </xf>
    <xf numFmtId="165" fontId="223" fillId="0" borderId="0" xfId="0" applyNumberFormat="1" applyFont="1" applyAlignment="1">
      <alignment horizontal="right" wrapText="1"/>
    </xf>
    <xf numFmtId="0" fontId="224" fillId="0" borderId="0" xfId="0" applyFont="1" applyAlignment="1">
      <alignment horizontal="left" wrapText="1"/>
    </xf>
    <xf numFmtId="165" fontId="225" fillId="0" borderId="0" xfId="0" applyNumberFormat="1" applyFont="1" applyAlignment="1">
      <alignment horizontal="right" wrapText="1"/>
    </xf>
    <xf numFmtId="0" fontId="226" fillId="0" borderId="0" xfId="0" applyFont="1" applyAlignment="1">
      <alignment horizontal="left" wrapText="1"/>
    </xf>
    <xf numFmtId="165" fontId="227" fillId="0" borderId="0" xfId="0" applyNumberFormat="1" applyFont="1" applyAlignment="1">
      <alignment horizontal="right" wrapText="1"/>
    </xf>
    <xf numFmtId="0" fontId="228" fillId="0" borderId="0" xfId="0" applyFont="1" applyAlignment="1">
      <alignment horizontal="left" wrapText="1"/>
    </xf>
    <xf numFmtId="165" fontId="229" fillId="0" borderId="0" xfId="0" applyNumberFormat="1" applyFont="1" applyAlignment="1">
      <alignment horizontal="right" wrapText="1"/>
    </xf>
    <xf numFmtId="0" fontId="230" fillId="0" borderId="0" xfId="0" applyFont="1" applyAlignment="1">
      <alignment horizontal="left" wrapText="1"/>
    </xf>
    <xf numFmtId="165" fontId="231" fillId="0" borderId="0" xfId="0" applyNumberFormat="1" applyFont="1" applyAlignment="1">
      <alignment horizontal="right" wrapText="1"/>
    </xf>
    <xf numFmtId="0" fontId="232" fillId="0" borderId="0" xfId="0" applyFont="1" applyAlignment="1">
      <alignment horizontal="left" wrapText="1"/>
    </xf>
    <xf numFmtId="165" fontId="233" fillId="0" borderId="0" xfId="0" applyNumberFormat="1" applyFont="1" applyAlignment="1">
      <alignment horizontal="right" wrapText="1"/>
    </xf>
    <xf numFmtId="0" fontId="234" fillId="0" borderId="0" xfId="0" applyFont="1" applyAlignment="1">
      <alignment horizontal="left" wrapText="1"/>
    </xf>
    <xf numFmtId="165" fontId="235" fillId="0" borderId="0" xfId="0" applyNumberFormat="1" applyFont="1" applyAlignment="1">
      <alignment horizontal="right" wrapText="1"/>
    </xf>
    <xf numFmtId="0" fontId="236" fillId="0" borderId="0" xfId="0" applyFont="1" applyAlignment="1">
      <alignment horizontal="left" wrapText="1"/>
    </xf>
    <xf numFmtId="165" fontId="237" fillId="0" borderId="0" xfId="0" applyNumberFormat="1" applyFont="1" applyAlignment="1">
      <alignment horizontal="right" wrapText="1"/>
    </xf>
    <xf numFmtId="0" fontId="238" fillId="0" borderId="0" xfId="0" applyFont="1" applyAlignment="1">
      <alignment horizontal="left" wrapText="1"/>
    </xf>
    <xf numFmtId="165" fontId="239" fillId="0" borderId="0" xfId="0" applyNumberFormat="1" applyFont="1" applyAlignment="1">
      <alignment horizontal="right" wrapText="1"/>
    </xf>
    <xf numFmtId="0" fontId="240" fillId="0" borderId="0" xfId="0" applyFont="1" applyAlignment="1">
      <alignment horizontal="left" wrapText="1"/>
    </xf>
    <xf numFmtId="165" fontId="241" fillId="0" borderId="0" xfId="0" applyNumberFormat="1" applyFont="1" applyAlignment="1">
      <alignment horizontal="right" wrapText="1"/>
    </xf>
    <xf numFmtId="0" fontId="242" fillId="0" borderId="0" xfId="0" applyFont="1" applyAlignment="1">
      <alignment horizontal="left" wrapText="1"/>
    </xf>
    <xf numFmtId="165" fontId="243" fillId="0" borderId="0" xfId="0" applyNumberFormat="1" applyFont="1" applyAlignment="1">
      <alignment horizontal="right" wrapText="1"/>
    </xf>
    <xf numFmtId="0" fontId="244" fillId="0" borderId="0" xfId="0" applyFont="1" applyAlignment="1">
      <alignment horizontal="left" wrapText="1"/>
    </xf>
    <xf numFmtId="165" fontId="245" fillId="0" borderId="0" xfId="0" applyNumberFormat="1" applyFont="1" applyAlignment="1">
      <alignment horizontal="right" wrapText="1"/>
    </xf>
    <xf numFmtId="0" fontId="246" fillId="0" borderId="0" xfId="0" applyFont="1" applyAlignment="1">
      <alignment horizontal="left" wrapText="1"/>
    </xf>
    <xf numFmtId="165" fontId="247" fillId="0" borderId="0" xfId="0" applyNumberFormat="1" applyFont="1" applyAlignment="1">
      <alignment horizontal="right" wrapText="1"/>
    </xf>
    <xf numFmtId="0" fontId="248" fillId="0" borderId="0" xfId="0" applyFont="1" applyAlignment="1">
      <alignment horizontal="left" wrapText="1"/>
    </xf>
    <xf numFmtId="165" fontId="249" fillId="0" borderId="0" xfId="0" applyNumberFormat="1" applyFont="1" applyAlignment="1">
      <alignment horizontal="right" wrapText="1"/>
    </xf>
    <xf numFmtId="0" fontId="250" fillId="0" borderId="0" xfId="0" applyFont="1" applyAlignment="1">
      <alignment horizontal="left" wrapText="1"/>
    </xf>
    <xf numFmtId="165" fontId="251" fillId="0" borderId="0" xfId="0" applyNumberFormat="1" applyFont="1" applyAlignment="1">
      <alignment horizontal="right" wrapText="1"/>
    </xf>
    <xf numFmtId="0" fontId="252" fillId="0" borderId="0" xfId="0" applyFont="1" applyAlignment="1">
      <alignment horizontal="left" wrapText="1"/>
    </xf>
    <xf numFmtId="165" fontId="253" fillId="0" borderId="0" xfId="0" applyNumberFormat="1" applyFont="1" applyAlignment="1">
      <alignment horizontal="right" wrapText="1"/>
    </xf>
    <xf numFmtId="0" fontId="254" fillId="0" borderId="0" xfId="0" applyFont="1" applyAlignment="1">
      <alignment horizontal="left" wrapText="1"/>
    </xf>
    <xf numFmtId="165" fontId="255" fillId="0" borderId="0" xfId="0" applyNumberFormat="1" applyFont="1" applyAlignment="1">
      <alignment horizontal="right" wrapText="1"/>
    </xf>
    <xf numFmtId="0" fontId="256" fillId="0" borderId="0" xfId="0" applyFont="1" applyAlignment="1">
      <alignment horizontal="left" wrapText="1"/>
    </xf>
    <xf numFmtId="165" fontId="257" fillId="0" borderId="0" xfId="0" applyNumberFormat="1" applyFont="1" applyAlignment="1">
      <alignment horizontal="right" wrapText="1"/>
    </xf>
    <xf numFmtId="0" fontId="258" fillId="0" borderId="0" xfId="0" applyFont="1" applyAlignment="1">
      <alignment horizontal="left" wrapText="1"/>
    </xf>
    <xf numFmtId="165" fontId="259" fillId="0" borderId="0" xfId="0" applyNumberFormat="1" applyFont="1" applyAlignment="1">
      <alignment horizontal="right" wrapText="1"/>
    </xf>
    <xf numFmtId="0" fontId="260" fillId="0" borderId="0" xfId="0" applyFont="1" applyAlignment="1">
      <alignment horizontal="left" wrapText="1"/>
    </xf>
    <xf numFmtId="165" fontId="261" fillId="0" borderId="0" xfId="0" applyNumberFormat="1" applyFont="1" applyAlignment="1">
      <alignment horizontal="right" wrapText="1"/>
    </xf>
    <xf numFmtId="0" fontId="262" fillId="0" borderId="0" xfId="0" applyFont="1" applyAlignment="1">
      <alignment horizontal="left" wrapText="1"/>
    </xf>
    <xf numFmtId="165" fontId="263" fillId="0" borderId="0" xfId="0" applyNumberFormat="1" applyFont="1" applyAlignment="1">
      <alignment horizontal="right" wrapText="1"/>
    </xf>
    <xf numFmtId="0" fontId="264" fillId="0" borderId="0" xfId="0" applyFont="1" applyAlignment="1">
      <alignment horizontal="left" wrapText="1"/>
    </xf>
    <xf numFmtId="165" fontId="265" fillId="0" borderId="0" xfId="0" applyNumberFormat="1" applyFont="1" applyAlignment="1">
      <alignment horizontal="right" wrapText="1"/>
    </xf>
    <xf numFmtId="0" fontId="266" fillId="0" borderId="0" xfId="0" applyFont="1" applyAlignment="1">
      <alignment horizontal="left" wrapText="1"/>
    </xf>
    <xf numFmtId="165" fontId="267" fillId="0" borderId="0" xfId="0" applyNumberFormat="1" applyFont="1" applyAlignment="1">
      <alignment horizontal="right" wrapText="1"/>
    </xf>
    <xf numFmtId="0" fontId="268" fillId="0" borderId="0" xfId="0" applyFont="1" applyAlignment="1">
      <alignment horizontal="left" wrapText="1"/>
    </xf>
    <xf numFmtId="165" fontId="269" fillId="0" borderId="0" xfId="0" applyNumberFormat="1" applyFont="1" applyAlignment="1">
      <alignment horizontal="right" wrapText="1"/>
    </xf>
    <xf numFmtId="0" fontId="270" fillId="0" borderId="0" xfId="0" applyFont="1" applyAlignment="1">
      <alignment horizontal="left" wrapText="1"/>
    </xf>
    <xf numFmtId="165" fontId="271" fillId="0" borderId="0" xfId="0" applyNumberFormat="1" applyFont="1" applyAlignment="1">
      <alignment horizontal="right" wrapText="1"/>
    </xf>
    <xf numFmtId="0" fontId="272" fillId="0" borderId="0" xfId="0" applyFont="1" applyAlignment="1">
      <alignment horizontal="left" wrapText="1"/>
    </xf>
    <xf numFmtId="165" fontId="273" fillId="0" borderId="0" xfId="0" applyNumberFormat="1" applyFont="1" applyAlignment="1">
      <alignment horizontal="right" wrapText="1"/>
    </xf>
    <xf numFmtId="0" fontId="274" fillId="0" borderId="0" xfId="0" applyFont="1" applyAlignment="1">
      <alignment horizontal="left" wrapText="1"/>
    </xf>
    <xf numFmtId="165" fontId="275" fillId="0" borderId="0" xfId="0" applyNumberFormat="1" applyFont="1" applyAlignment="1">
      <alignment horizontal="right" wrapText="1"/>
    </xf>
    <xf numFmtId="0" fontId="276" fillId="0" borderId="0" xfId="0" applyFont="1" applyAlignment="1">
      <alignment horizontal="left" wrapText="1"/>
    </xf>
    <xf numFmtId="165" fontId="277" fillId="0" borderId="0" xfId="0" applyNumberFormat="1" applyFont="1" applyAlignment="1">
      <alignment horizontal="right" wrapText="1"/>
    </xf>
    <xf numFmtId="0" fontId="278" fillId="0" borderId="0" xfId="0" applyFont="1" applyAlignment="1">
      <alignment horizontal="left" wrapText="1"/>
    </xf>
    <xf numFmtId="165" fontId="279" fillId="0" borderId="0" xfId="0" applyNumberFormat="1" applyFont="1" applyAlignment="1">
      <alignment horizontal="right" wrapText="1"/>
    </xf>
    <xf numFmtId="0" fontId="280" fillId="0" borderId="0" xfId="0" applyFont="1" applyAlignment="1">
      <alignment horizontal="left" wrapText="1"/>
    </xf>
    <xf numFmtId="165" fontId="281" fillId="0" borderId="0" xfId="0" applyNumberFormat="1" applyFont="1" applyAlignment="1">
      <alignment horizontal="right" wrapText="1"/>
    </xf>
    <xf numFmtId="0" fontId="282" fillId="0" borderId="0" xfId="0" applyFont="1" applyAlignment="1">
      <alignment horizontal="left" wrapText="1"/>
    </xf>
    <xf numFmtId="165" fontId="283" fillId="0" borderId="0" xfId="0" applyNumberFormat="1" applyFont="1" applyAlignment="1">
      <alignment horizontal="right" wrapText="1"/>
    </xf>
    <xf numFmtId="0" fontId="284" fillId="0" borderId="0" xfId="0" applyFont="1" applyAlignment="1">
      <alignment horizontal="left" wrapText="1"/>
    </xf>
    <xf numFmtId="165" fontId="285" fillId="0" borderId="0" xfId="0" applyNumberFormat="1" applyFont="1" applyAlignment="1">
      <alignment horizontal="right" wrapText="1"/>
    </xf>
    <xf numFmtId="0" fontId="286" fillId="0" borderId="0" xfId="0" applyFont="1" applyAlignment="1">
      <alignment horizontal="left" wrapText="1"/>
    </xf>
    <xf numFmtId="165" fontId="287" fillId="0" borderId="0" xfId="0" applyNumberFormat="1" applyFont="1" applyAlignment="1">
      <alignment horizontal="right" wrapText="1"/>
    </xf>
    <xf numFmtId="0" fontId="288" fillId="0" borderId="0" xfId="0" applyFont="1" applyAlignment="1">
      <alignment horizontal="left" wrapText="1"/>
    </xf>
    <xf numFmtId="165" fontId="289" fillId="0" borderId="0" xfId="0" applyNumberFormat="1" applyFont="1" applyAlignment="1">
      <alignment horizontal="right" wrapText="1"/>
    </xf>
    <xf numFmtId="0" fontId="290" fillId="0" borderId="0" xfId="0" applyFont="1" applyAlignment="1">
      <alignment horizontal="left" wrapText="1"/>
    </xf>
    <xf numFmtId="165" fontId="291" fillId="0" borderId="0" xfId="0" applyNumberFormat="1" applyFont="1" applyAlignment="1">
      <alignment horizontal="right" wrapText="1"/>
    </xf>
    <xf numFmtId="0" fontId="292" fillId="0" borderId="0" xfId="0" applyFont="1" applyAlignment="1">
      <alignment horizontal="left" wrapText="1"/>
    </xf>
    <xf numFmtId="165" fontId="293" fillId="0" borderId="0" xfId="0" applyNumberFormat="1" applyFont="1" applyAlignment="1">
      <alignment horizontal="right" wrapText="1"/>
    </xf>
    <xf numFmtId="0" fontId="294" fillId="0" borderId="0" xfId="0" applyFont="1" applyAlignment="1">
      <alignment horizontal="left" wrapText="1"/>
    </xf>
    <xf numFmtId="165" fontId="295" fillId="0" borderId="0" xfId="0" applyNumberFormat="1" applyFont="1" applyAlignment="1">
      <alignment horizontal="right" wrapText="1"/>
    </xf>
    <xf numFmtId="0" fontId="296" fillId="0" borderId="0" xfId="0" applyFont="1" applyAlignment="1">
      <alignment horizontal="left" wrapText="1"/>
    </xf>
    <xf numFmtId="165" fontId="297" fillId="0" borderId="0" xfId="0" applyNumberFormat="1" applyFont="1" applyAlignment="1">
      <alignment horizontal="right" wrapText="1"/>
    </xf>
    <xf numFmtId="0" fontId="298" fillId="0" borderId="0" xfId="0" applyFont="1" applyAlignment="1">
      <alignment horizontal="left" wrapText="1"/>
    </xf>
    <xf numFmtId="165" fontId="299" fillId="0" borderId="0" xfId="0" applyNumberFormat="1" applyFont="1" applyAlignment="1">
      <alignment horizontal="right" wrapText="1"/>
    </xf>
    <xf numFmtId="0" fontId="300" fillId="0" borderId="0" xfId="0" applyFont="1" applyAlignment="1">
      <alignment horizontal="left" wrapText="1"/>
    </xf>
    <xf numFmtId="165" fontId="301" fillId="0" borderId="0" xfId="0" applyNumberFormat="1" applyFont="1" applyAlignment="1">
      <alignment horizontal="right" wrapText="1"/>
    </xf>
    <xf numFmtId="0" fontId="302" fillId="0" borderId="0" xfId="0" applyFont="1" applyAlignment="1">
      <alignment horizontal="left" wrapText="1"/>
    </xf>
    <xf numFmtId="165" fontId="303" fillId="0" borderId="0" xfId="0" applyNumberFormat="1" applyFont="1" applyAlignment="1">
      <alignment horizontal="right" wrapText="1"/>
    </xf>
    <xf numFmtId="0" fontId="304" fillId="0" borderId="0" xfId="0" applyFont="1" applyAlignment="1">
      <alignment horizontal="left" wrapText="1"/>
    </xf>
    <xf numFmtId="165" fontId="305" fillId="0" borderId="0" xfId="0" applyNumberFormat="1" applyFont="1" applyAlignment="1">
      <alignment horizontal="right" wrapText="1"/>
    </xf>
    <xf numFmtId="0" fontId="306" fillId="0" borderId="0" xfId="0" applyFont="1" applyAlignment="1">
      <alignment horizontal="left" wrapText="1"/>
    </xf>
    <xf numFmtId="165" fontId="307" fillId="0" borderId="0" xfId="0" applyNumberFormat="1" applyFont="1" applyAlignment="1">
      <alignment horizontal="right" wrapText="1"/>
    </xf>
    <xf numFmtId="0" fontId="308" fillId="0" borderId="0" xfId="0" applyFont="1" applyAlignment="1">
      <alignment horizontal="left" wrapText="1"/>
    </xf>
    <xf numFmtId="165" fontId="309" fillId="0" borderId="0" xfId="0" applyNumberFormat="1" applyFont="1" applyAlignment="1">
      <alignment horizontal="right" wrapText="1"/>
    </xf>
    <xf numFmtId="0" fontId="310" fillId="0" borderId="0" xfId="0" applyFont="1" applyAlignment="1">
      <alignment horizontal="left" wrapText="1"/>
    </xf>
    <xf numFmtId="165" fontId="311" fillId="0" borderId="0" xfId="0" applyNumberFormat="1" applyFont="1" applyAlignment="1">
      <alignment horizontal="right" wrapText="1"/>
    </xf>
    <xf numFmtId="0" fontId="312" fillId="0" borderId="0" xfId="0" applyFont="1" applyAlignment="1">
      <alignment horizontal="left" wrapText="1"/>
    </xf>
    <xf numFmtId="165" fontId="313" fillId="0" borderId="0" xfId="0" applyNumberFormat="1" applyFont="1" applyAlignment="1">
      <alignment horizontal="right" wrapText="1"/>
    </xf>
    <xf numFmtId="0" fontId="314" fillId="0" borderId="0" xfId="0" applyFont="1" applyAlignment="1">
      <alignment horizontal="left" wrapText="1"/>
    </xf>
    <xf numFmtId="165" fontId="315" fillId="0" borderId="0" xfId="0" applyNumberFormat="1" applyFont="1" applyAlignment="1">
      <alignment horizontal="right" wrapText="1"/>
    </xf>
    <xf numFmtId="0" fontId="316" fillId="0" borderId="0" xfId="0" applyFont="1" applyAlignment="1">
      <alignment horizontal="left" wrapText="1"/>
    </xf>
    <xf numFmtId="165" fontId="317" fillId="0" borderId="0" xfId="0" applyNumberFormat="1" applyFont="1" applyAlignment="1">
      <alignment horizontal="right" wrapText="1"/>
    </xf>
    <xf numFmtId="0" fontId="318" fillId="0" borderId="0" xfId="0" applyFont="1" applyAlignment="1">
      <alignment horizontal="left" wrapText="1"/>
    </xf>
    <xf numFmtId="165" fontId="319" fillId="0" borderId="0" xfId="0" applyNumberFormat="1" applyFont="1" applyAlignment="1">
      <alignment horizontal="right" wrapText="1"/>
    </xf>
    <xf numFmtId="0" fontId="320" fillId="0" borderId="0" xfId="0" applyFont="1" applyAlignment="1">
      <alignment horizontal="left" wrapText="1"/>
    </xf>
    <xf numFmtId="165" fontId="321" fillId="0" borderId="0" xfId="0" applyNumberFormat="1" applyFont="1" applyAlignment="1">
      <alignment horizontal="right" wrapText="1"/>
    </xf>
    <xf numFmtId="0" fontId="322" fillId="0" borderId="0" xfId="0" applyFont="1" applyAlignment="1">
      <alignment horizontal="left" wrapText="1"/>
    </xf>
    <xf numFmtId="165" fontId="323" fillId="0" borderId="0" xfId="0" applyNumberFormat="1" applyFont="1" applyAlignment="1">
      <alignment horizontal="right" wrapText="1"/>
    </xf>
    <xf numFmtId="0" fontId="324" fillId="0" borderId="0" xfId="0" applyFont="1" applyAlignment="1">
      <alignment horizontal="left" wrapText="1"/>
    </xf>
    <xf numFmtId="165" fontId="325" fillId="0" borderId="0" xfId="0" applyNumberFormat="1" applyFont="1" applyAlignment="1">
      <alignment horizontal="right" wrapText="1"/>
    </xf>
    <xf numFmtId="0" fontId="326" fillId="0" borderId="0" xfId="0" applyFont="1" applyAlignment="1">
      <alignment horizontal="left" wrapText="1"/>
    </xf>
    <xf numFmtId="165" fontId="327" fillId="0" borderId="0" xfId="0" applyNumberFormat="1" applyFont="1" applyAlignment="1">
      <alignment horizontal="right" wrapText="1"/>
    </xf>
    <xf numFmtId="0" fontId="328" fillId="0" borderId="0" xfId="0" applyFont="1" applyAlignment="1">
      <alignment horizontal="left" wrapText="1"/>
    </xf>
    <xf numFmtId="165" fontId="329" fillId="0" borderId="0" xfId="0" applyNumberFormat="1" applyFont="1" applyAlignment="1">
      <alignment horizontal="right" wrapText="1"/>
    </xf>
    <xf numFmtId="0" fontId="330" fillId="0" borderId="0" xfId="0" applyFont="1" applyAlignment="1">
      <alignment horizontal="left" wrapText="1"/>
    </xf>
    <xf numFmtId="165" fontId="331" fillId="0" borderId="0" xfId="0" applyNumberFormat="1" applyFont="1" applyAlignment="1">
      <alignment horizontal="right" wrapText="1"/>
    </xf>
    <xf numFmtId="0" fontId="332" fillId="0" borderId="0" xfId="0" applyFont="1" applyAlignment="1">
      <alignment horizontal="left" wrapText="1"/>
    </xf>
    <xf numFmtId="165" fontId="333" fillId="0" borderId="0" xfId="0" applyNumberFormat="1" applyFont="1" applyAlignment="1">
      <alignment horizontal="right" wrapText="1"/>
    </xf>
    <xf numFmtId="0" fontId="334" fillId="0" borderId="0" xfId="0" applyFont="1" applyAlignment="1">
      <alignment horizontal="left" wrapText="1"/>
    </xf>
    <xf numFmtId="165" fontId="335" fillId="0" borderId="0" xfId="0" applyNumberFormat="1" applyFont="1" applyAlignment="1">
      <alignment horizontal="right" wrapText="1"/>
    </xf>
    <xf numFmtId="0" fontId="336" fillId="0" borderId="0" xfId="0" applyFont="1" applyAlignment="1">
      <alignment horizontal="left" wrapText="1"/>
    </xf>
    <xf numFmtId="165" fontId="337" fillId="0" borderId="0" xfId="0" applyNumberFormat="1" applyFont="1" applyAlignment="1">
      <alignment horizontal="right" wrapText="1"/>
    </xf>
    <xf numFmtId="0" fontId="338" fillId="0" borderId="0" xfId="0" applyFont="1" applyAlignment="1">
      <alignment horizontal="left" wrapText="1"/>
    </xf>
    <xf numFmtId="165" fontId="339" fillId="0" borderId="0" xfId="0" applyNumberFormat="1" applyFont="1" applyAlignment="1">
      <alignment horizontal="right" wrapText="1"/>
    </xf>
    <xf numFmtId="0" fontId="340" fillId="0" borderId="0" xfId="0" applyFont="1" applyAlignment="1">
      <alignment horizontal="left" wrapText="1"/>
    </xf>
    <xf numFmtId="165" fontId="341" fillId="0" borderId="0" xfId="0" applyNumberFormat="1" applyFont="1" applyAlignment="1">
      <alignment horizontal="right" wrapText="1"/>
    </xf>
    <xf numFmtId="0" fontId="342" fillId="0" borderId="0" xfId="0" applyFont="1" applyAlignment="1">
      <alignment horizontal="left" wrapText="1"/>
    </xf>
    <xf numFmtId="165" fontId="343" fillId="0" borderId="0" xfId="0" applyNumberFormat="1" applyFont="1" applyAlignment="1">
      <alignment horizontal="right" wrapText="1"/>
    </xf>
    <xf numFmtId="0" fontId="344" fillId="0" borderId="0" xfId="0" applyFont="1" applyAlignment="1">
      <alignment horizontal="left" wrapText="1"/>
    </xf>
    <xf numFmtId="165" fontId="345" fillId="0" borderId="0" xfId="0" applyNumberFormat="1" applyFont="1" applyAlignment="1">
      <alignment horizontal="right" wrapText="1"/>
    </xf>
    <xf numFmtId="0" fontId="346" fillId="0" borderId="0" xfId="0" applyFont="1" applyAlignment="1">
      <alignment horizontal="left" wrapText="1"/>
    </xf>
    <xf numFmtId="165" fontId="347" fillId="0" borderId="0" xfId="0" applyNumberFormat="1" applyFont="1" applyAlignment="1">
      <alignment horizontal="right" wrapText="1"/>
    </xf>
    <xf numFmtId="0" fontId="348" fillId="0" borderId="0" xfId="0" applyFont="1" applyAlignment="1">
      <alignment horizontal="left" wrapText="1"/>
    </xf>
    <xf numFmtId="165" fontId="349" fillId="0" borderId="0" xfId="0" applyNumberFormat="1" applyFont="1" applyAlignment="1">
      <alignment horizontal="right" wrapText="1"/>
    </xf>
    <xf numFmtId="0" fontId="350" fillId="0" borderId="0" xfId="0" applyFont="1" applyAlignment="1">
      <alignment horizontal="left" wrapText="1"/>
    </xf>
    <xf numFmtId="165" fontId="351" fillId="0" borderId="0" xfId="0" applyNumberFormat="1" applyFont="1" applyAlignment="1">
      <alignment horizontal="right" wrapText="1"/>
    </xf>
    <xf numFmtId="0" fontId="352" fillId="0" borderId="0" xfId="0" applyFont="1" applyAlignment="1">
      <alignment horizontal="left" wrapText="1"/>
    </xf>
    <xf numFmtId="165" fontId="353" fillId="0" borderId="0" xfId="0" applyNumberFormat="1" applyFont="1" applyAlignment="1">
      <alignment horizontal="right" wrapText="1"/>
    </xf>
    <xf numFmtId="0" fontId="354" fillId="0" borderId="0" xfId="0" applyFont="1" applyAlignment="1">
      <alignment horizontal="left" wrapText="1"/>
    </xf>
    <xf numFmtId="165" fontId="355" fillId="0" borderId="0" xfId="0" applyNumberFormat="1" applyFont="1" applyAlignment="1">
      <alignment horizontal="right" wrapText="1"/>
    </xf>
    <xf numFmtId="0" fontId="356" fillId="0" borderId="0" xfId="0" applyFont="1" applyAlignment="1">
      <alignment horizontal="left" wrapText="1"/>
    </xf>
    <xf numFmtId="165" fontId="357" fillId="0" borderId="0" xfId="0" applyNumberFormat="1" applyFont="1" applyAlignment="1">
      <alignment horizontal="right" wrapText="1"/>
    </xf>
    <xf numFmtId="0" fontId="358" fillId="0" borderId="0" xfId="0" applyFont="1" applyAlignment="1">
      <alignment horizontal="left" wrapText="1"/>
    </xf>
    <xf numFmtId="165" fontId="359" fillId="0" borderId="0" xfId="0" applyNumberFormat="1" applyFont="1" applyAlignment="1">
      <alignment horizontal="right" wrapText="1"/>
    </xf>
    <xf numFmtId="0" fontId="360" fillId="0" borderId="0" xfId="0" applyFont="1" applyAlignment="1">
      <alignment horizontal="left" wrapText="1"/>
    </xf>
    <xf numFmtId="165" fontId="361" fillId="0" borderId="0" xfId="0" applyNumberFormat="1" applyFont="1" applyAlignment="1">
      <alignment horizontal="right" wrapText="1"/>
    </xf>
    <xf numFmtId="0" fontId="362" fillId="0" borderId="0" xfId="0" applyFont="1" applyAlignment="1">
      <alignment horizontal="left" wrapText="1"/>
    </xf>
    <xf numFmtId="165" fontId="363" fillId="0" borderId="0" xfId="0" applyNumberFormat="1" applyFont="1" applyAlignment="1">
      <alignment horizontal="right" wrapText="1"/>
    </xf>
    <xf numFmtId="0" fontId="364" fillId="0" borderId="0" xfId="0" applyFont="1" applyAlignment="1">
      <alignment horizontal="left" wrapText="1"/>
    </xf>
    <xf numFmtId="165" fontId="365" fillId="0" borderId="0" xfId="0" applyNumberFormat="1" applyFont="1" applyAlignment="1">
      <alignment horizontal="right" wrapText="1"/>
    </xf>
    <xf numFmtId="0" fontId="366" fillId="0" borderId="0" xfId="0" applyFont="1" applyAlignment="1">
      <alignment horizontal="left" wrapText="1"/>
    </xf>
    <xf numFmtId="165" fontId="367" fillId="0" borderId="0" xfId="0" applyNumberFormat="1" applyFont="1" applyAlignment="1">
      <alignment horizontal="right" wrapText="1"/>
    </xf>
    <xf numFmtId="0" fontId="368" fillId="0" borderId="0" xfId="0" applyFont="1" applyAlignment="1">
      <alignment horizontal="left" wrapText="1"/>
    </xf>
    <xf numFmtId="165" fontId="369" fillId="0" borderId="0" xfId="0" applyNumberFormat="1" applyFont="1" applyAlignment="1">
      <alignment horizontal="right" wrapText="1"/>
    </xf>
    <xf numFmtId="0" fontId="370" fillId="0" borderId="0" xfId="0" applyFont="1" applyAlignment="1">
      <alignment horizontal="left" wrapText="1"/>
    </xf>
    <xf numFmtId="165" fontId="371" fillId="0" borderId="0" xfId="0" applyNumberFormat="1" applyFont="1" applyAlignment="1">
      <alignment horizontal="right" wrapText="1"/>
    </xf>
    <xf numFmtId="0" fontId="372" fillId="0" borderId="0" xfId="0" applyFont="1" applyAlignment="1">
      <alignment horizontal="left" wrapText="1"/>
    </xf>
    <xf numFmtId="165" fontId="373" fillId="0" borderId="0" xfId="0" applyNumberFormat="1" applyFont="1" applyAlignment="1">
      <alignment horizontal="right" wrapText="1"/>
    </xf>
    <xf numFmtId="0" fontId="374" fillId="0" borderId="0" xfId="0" applyFont="1" applyAlignment="1">
      <alignment horizontal="left" wrapText="1"/>
    </xf>
    <xf numFmtId="165" fontId="375" fillId="0" borderId="0" xfId="0" applyNumberFormat="1" applyFont="1" applyAlignment="1">
      <alignment horizontal="right" wrapText="1"/>
    </xf>
    <xf numFmtId="0" fontId="376" fillId="0" borderId="0" xfId="0" applyFont="1" applyAlignment="1">
      <alignment horizontal="left" wrapText="1"/>
    </xf>
    <xf numFmtId="165" fontId="377" fillId="0" borderId="0" xfId="0" applyNumberFormat="1" applyFont="1" applyAlignment="1">
      <alignment horizontal="right" wrapText="1"/>
    </xf>
    <xf numFmtId="0" fontId="378" fillId="0" borderId="0" xfId="0" applyFont="1" applyAlignment="1">
      <alignment horizontal="left" wrapText="1"/>
    </xf>
    <xf numFmtId="165" fontId="379" fillId="0" borderId="0" xfId="0" applyNumberFormat="1" applyFont="1" applyAlignment="1">
      <alignment horizontal="right" wrapText="1"/>
    </xf>
    <xf numFmtId="0" fontId="380" fillId="0" borderId="0" xfId="0" applyFont="1" applyAlignment="1">
      <alignment horizontal="left" wrapText="1"/>
    </xf>
    <xf numFmtId="165" fontId="381" fillId="0" borderId="0" xfId="0" applyNumberFormat="1" applyFont="1" applyAlignment="1">
      <alignment horizontal="right" wrapText="1"/>
    </xf>
    <xf numFmtId="0" fontId="382" fillId="0" borderId="0" xfId="0" applyFont="1" applyAlignment="1">
      <alignment horizontal="left" wrapText="1"/>
    </xf>
    <xf numFmtId="165" fontId="383" fillId="0" borderId="0" xfId="0" applyNumberFormat="1" applyFont="1" applyAlignment="1">
      <alignment horizontal="right" wrapText="1"/>
    </xf>
    <xf numFmtId="0" fontId="384" fillId="0" borderId="0" xfId="0" applyFont="1" applyAlignment="1">
      <alignment horizontal="left" wrapText="1"/>
    </xf>
    <xf numFmtId="165" fontId="385" fillId="0" borderId="0" xfId="0" applyNumberFormat="1" applyFont="1" applyAlignment="1">
      <alignment horizontal="right" wrapText="1"/>
    </xf>
    <xf numFmtId="0" fontId="386" fillId="0" borderId="0" xfId="0" applyFont="1" applyAlignment="1">
      <alignment horizontal="left" wrapText="1"/>
    </xf>
    <xf numFmtId="165" fontId="387" fillId="0" borderId="0" xfId="0" applyNumberFormat="1" applyFont="1" applyAlignment="1">
      <alignment horizontal="right" wrapText="1"/>
    </xf>
    <xf numFmtId="0" fontId="388" fillId="0" borderId="0" xfId="0" applyFont="1" applyAlignment="1">
      <alignment horizontal="left" wrapText="1"/>
    </xf>
    <xf numFmtId="165" fontId="389" fillId="0" borderId="0" xfId="0" applyNumberFormat="1" applyFont="1" applyAlignment="1">
      <alignment horizontal="right" wrapText="1"/>
    </xf>
    <xf numFmtId="0" fontId="390" fillId="0" borderId="0" xfId="0" applyFont="1" applyAlignment="1">
      <alignment horizontal="left" wrapText="1"/>
    </xf>
    <xf numFmtId="165" fontId="391" fillId="0" borderId="0" xfId="0" applyNumberFormat="1" applyFont="1" applyAlignment="1">
      <alignment horizontal="right" wrapText="1"/>
    </xf>
    <xf numFmtId="0" fontId="392" fillId="0" borderId="0" xfId="0" applyFont="1" applyAlignment="1">
      <alignment horizontal="left" wrapText="1"/>
    </xf>
    <xf numFmtId="165" fontId="393" fillId="0" borderId="0" xfId="0" applyNumberFormat="1" applyFont="1" applyAlignment="1">
      <alignment horizontal="right" wrapText="1"/>
    </xf>
    <xf numFmtId="0" fontId="394" fillId="0" borderId="0" xfId="0" applyFont="1" applyAlignment="1">
      <alignment horizontal="left" wrapText="1"/>
    </xf>
    <xf numFmtId="165" fontId="395" fillId="0" borderId="0" xfId="0" applyNumberFormat="1" applyFont="1" applyAlignment="1">
      <alignment horizontal="right" wrapText="1"/>
    </xf>
    <xf numFmtId="0" fontId="396" fillId="0" borderId="0" xfId="0" applyFont="1" applyAlignment="1">
      <alignment horizontal="left" wrapText="1"/>
    </xf>
    <xf numFmtId="165" fontId="397" fillId="0" borderId="0" xfId="0" applyNumberFormat="1" applyFont="1" applyAlignment="1">
      <alignment horizontal="right" wrapText="1"/>
    </xf>
    <xf numFmtId="0" fontId="398" fillId="0" borderId="0" xfId="0" applyFont="1" applyAlignment="1">
      <alignment horizontal="left" wrapText="1"/>
    </xf>
    <xf numFmtId="165" fontId="399" fillId="0" borderId="0" xfId="0" applyNumberFormat="1" applyFont="1" applyAlignment="1">
      <alignment horizontal="right" wrapText="1"/>
    </xf>
    <xf numFmtId="0" fontId="400" fillId="0" borderId="0" xfId="0" applyFont="1" applyAlignment="1">
      <alignment horizontal="left" wrapText="1"/>
    </xf>
    <xf numFmtId="165" fontId="401" fillId="0" borderId="0" xfId="0" applyNumberFormat="1" applyFont="1" applyAlignment="1">
      <alignment horizontal="right" wrapText="1"/>
    </xf>
    <xf numFmtId="0" fontId="402" fillId="0" borderId="0" xfId="0" applyFont="1" applyAlignment="1">
      <alignment horizontal="left" wrapText="1"/>
    </xf>
    <xf numFmtId="165" fontId="403" fillId="0" borderId="0" xfId="0" applyNumberFormat="1" applyFont="1" applyAlignment="1">
      <alignment horizontal="right" wrapText="1"/>
    </xf>
    <xf numFmtId="0" fontId="404" fillId="0" borderId="0" xfId="0" applyFont="1" applyAlignment="1">
      <alignment horizontal="left" wrapText="1"/>
    </xf>
    <xf numFmtId="165" fontId="405" fillId="0" borderId="0" xfId="0" applyNumberFormat="1" applyFont="1" applyAlignment="1">
      <alignment horizontal="right" wrapText="1"/>
    </xf>
    <xf numFmtId="0" fontId="406" fillId="0" borderId="0" xfId="0" applyFont="1" applyAlignment="1">
      <alignment horizontal="left" wrapText="1"/>
    </xf>
    <xf numFmtId="165" fontId="407" fillId="0" borderId="0" xfId="0" applyNumberFormat="1" applyFont="1" applyAlignment="1">
      <alignment horizontal="right" wrapText="1"/>
    </xf>
    <xf numFmtId="0" fontId="408" fillId="0" borderId="0" xfId="0" applyFont="1" applyAlignment="1">
      <alignment horizontal="left" wrapText="1"/>
    </xf>
    <xf numFmtId="165" fontId="409" fillId="0" borderId="0" xfId="0" applyNumberFormat="1" applyFont="1" applyAlignment="1">
      <alignment horizontal="right" wrapText="1"/>
    </xf>
    <xf numFmtId="0" fontId="410" fillId="0" borderId="0" xfId="0" applyFont="1" applyAlignment="1">
      <alignment horizontal="left" wrapText="1"/>
    </xf>
    <xf numFmtId="165" fontId="411" fillId="0" borderId="0" xfId="0" applyNumberFormat="1" applyFont="1" applyAlignment="1">
      <alignment horizontal="right" wrapText="1"/>
    </xf>
    <xf numFmtId="0" fontId="412" fillId="0" borderId="0" xfId="0" applyFont="1" applyAlignment="1">
      <alignment horizontal="left" wrapText="1"/>
    </xf>
    <xf numFmtId="165" fontId="413" fillId="0" borderId="0" xfId="0" applyNumberFormat="1" applyFont="1" applyAlignment="1">
      <alignment horizontal="right" wrapText="1"/>
    </xf>
    <xf numFmtId="0" fontId="414" fillId="0" borderId="0" xfId="0" applyFont="1" applyAlignment="1">
      <alignment horizontal="left" wrapText="1"/>
    </xf>
    <xf numFmtId="165" fontId="415" fillId="0" borderId="0" xfId="0" applyNumberFormat="1" applyFont="1" applyAlignment="1">
      <alignment horizontal="right" wrapText="1"/>
    </xf>
    <xf numFmtId="0" fontId="416" fillId="0" borderId="0" xfId="0" applyFont="1" applyAlignment="1">
      <alignment horizontal="left" wrapText="1"/>
    </xf>
    <xf numFmtId="165" fontId="417" fillId="0" borderId="0" xfId="0" applyNumberFormat="1" applyFont="1" applyAlignment="1">
      <alignment horizontal="right" wrapText="1"/>
    </xf>
    <xf numFmtId="0" fontId="418" fillId="0" borderId="0" xfId="0" applyFont="1" applyAlignment="1">
      <alignment horizontal="left" wrapText="1"/>
    </xf>
    <xf numFmtId="165" fontId="419" fillId="0" borderId="0" xfId="0" applyNumberFormat="1" applyFont="1" applyAlignment="1">
      <alignment horizontal="right" wrapText="1"/>
    </xf>
    <xf numFmtId="0" fontId="420" fillId="0" borderId="0" xfId="0" applyFont="1" applyAlignment="1">
      <alignment horizontal="left" wrapText="1"/>
    </xf>
    <xf numFmtId="165" fontId="421" fillId="0" borderId="0" xfId="0" applyNumberFormat="1" applyFont="1" applyAlignment="1">
      <alignment horizontal="right" wrapText="1"/>
    </xf>
    <xf numFmtId="0" fontId="422" fillId="0" borderId="0" xfId="0" applyFont="1" applyAlignment="1">
      <alignment horizontal="left" wrapText="1"/>
    </xf>
    <xf numFmtId="165" fontId="423" fillId="0" borderId="0" xfId="0" applyNumberFormat="1" applyFont="1" applyAlignment="1">
      <alignment horizontal="right" wrapText="1"/>
    </xf>
    <xf numFmtId="0" fontId="424" fillId="0" borderId="0" xfId="0" applyFont="1" applyAlignment="1">
      <alignment horizontal="left" wrapText="1"/>
    </xf>
    <xf numFmtId="165" fontId="425" fillId="0" borderId="0" xfId="0" applyNumberFormat="1" applyFont="1" applyAlignment="1">
      <alignment horizontal="right" wrapText="1"/>
    </xf>
    <xf numFmtId="0" fontId="426" fillId="0" borderId="0" xfId="0" applyFont="1" applyAlignment="1">
      <alignment horizontal="left" wrapText="1"/>
    </xf>
    <xf numFmtId="165" fontId="427" fillId="0" borderId="0" xfId="0" applyNumberFormat="1" applyFont="1" applyAlignment="1">
      <alignment horizontal="right" wrapText="1"/>
    </xf>
    <xf numFmtId="0" fontId="428" fillId="0" borderId="0" xfId="0" applyFont="1" applyAlignment="1">
      <alignment horizontal="left" wrapText="1"/>
    </xf>
    <xf numFmtId="165" fontId="429" fillId="0" borderId="0" xfId="0" applyNumberFormat="1" applyFont="1" applyAlignment="1">
      <alignment horizontal="right" wrapText="1"/>
    </xf>
    <xf numFmtId="0" fontId="430" fillId="0" borderId="0" xfId="0" applyFont="1" applyAlignment="1">
      <alignment horizontal="left" wrapText="1"/>
    </xf>
    <xf numFmtId="165" fontId="431" fillId="0" borderId="0" xfId="0" applyNumberFormat="1" applyFont="1" applyAlignment="1">
      <alignment horizontal="right" wrapText="1"/>
    </xf>
    <xf numFmtId="0" fontId="432" fillId="0" borderId="0" xfId="0" applyFont="1" applyAlignment="1">
      <alignment horizontal="left" wrapText="1"/>
    </xf>
    <xf numFmtId="165" fontId="433" fillId="0" borderId="0" xfId="0" applyNumberFormat="1" applyFont="1" applyAlignment="1">
      <alignment horizontal="right" wrapText="1"/>
    </xf>
    <xf numFmtId="0" fontId="434" fillId="0" borderId="0" xfId="0" applyFont="1" applyAlignment="1">
      <alignment horizontal="left" wrapText="1"/>
    </xf>
    <xf numFmtId="165" fontId="435" fillId="0" borderId="0" xfId="0" applyNumberFormat="1" applyFont="1" applyAlignment="1">
      <alignment horizontal="right" wrapText="1"/>
    </xf>
    <xf numFmtId="0" fontId="436" fillId="0" borderId="0" xfId="0" applyFont="1" applyAlignment="1">
      <alignment horizontal="left" wrapText="1"/>
    </xf>
    <xf numFmtId="165" fontId="437" fillId="0" borderId="0" xfId="0" applyNumberFormat="1" applyFont="1" applyAlignment="1">
      <alignment horizontal="right" wrapText="1"/>
    </xf>
    <xf numFmtId="0" fontId="438" fillId="0" borderId="0" xfId="0" applyFont="1" applyAlignment="1">
      <alignment horizontal="left" wrapText="1"/>
    </xf>
    <xf numFmtId="165" fontId="439" fillId="0" borderId="0" xfId="0" applyNumberFormat="1" applyFont="1" applyAlignment="1">
      <alignment horizontal="right" wrapText="1"/>
    </xf>
    <xf numFmtId="0" fontId="440" fillId="0" borderId="0" xfId="0" applyFont="1" applyAlignment="1">
      <alignment horizontal="left" wrapText="1"/>
    </xf>
    <xf numFmtId="165" fontId="441" fillId="0" borderId="0" xfId="0" applyNumberFormat="1" applyFont="1" applyAlignment="1">
      <alignment horizontal="right" wrapText="1"/>
    </xf>
    <xf numFmtId="0" fontId="442" fillId="0" borderId="0" xfId="0" applyFont="1" applyAlignment="1">
      <alignment horizontal="left" wrapText="1"/>
    </xf>
    <xf numFmtId="165" fontId="443" fillId="0" borderId="0" xfId="0" applyNumberFormat="1" applyFont="1" applyAlignment="1">
      <alignment horizontal="right" wrapText="1"/>
    </xf>
    <xf numFmtId="0" fontId="444" fillId="0" borderId="0" xfId="0" applyFont="1" applyAlignment="1">
      <alignment horizontal="left" wrapText="1"/>
    </xf>
    <xf numFmtId="165" fontId="445" fillId="0" borderId="0" xfId="0" applyNumberFormat="1" applyFont="1" applyAlignment="1">
      <alignment horizontal="right" wrapText="1"/>
    </xf>
    <xf numFmtId="0" fontId="446" fillId="0" borderId="0" xfId="0" applyFont="1" applyAlignment="1">
      <alignment horizontal="left" wrapText="1"/>
    </xf>
    <xf numFmtId="165" fontId="447" fillId="0" borderId="0" xfId="0" applyNumberFormat="1" applyFont="1" applyAlignment="1">
      <alignment horizontal="right" wrapText="1"/>
    </xf>
    <xf numFmtId="0" fontId="448" fillId="0" borderId="0" xfId="0" applyFont="1" applyAlignment="1">
      <alignment horizontal="left" wrapText="1"/>
    </xf>
    <xf numFmtId="165" fontId="449" fillId="0" borderId="0" xfId="0" applyNumberFormat="1" applyFont="1" applyAlignment="1">
      <alignment horizontal="right" wrapText="1"/>
    </xf>
    <xf numFmtId="0" fontId="450" fillId="0" borderId="0" xfId="0" applyFont="1" applyAlignment="1">
      <alignment horizontal="left" wrapText="1"/>
    </xf>
    <xf numFmtId="165" fontId="451" fillId="0" borderId="0" xfId="0" applyNumberFormat="1" applyFont="1" applyAlignment="1">
      <alignment horizontal="right" wrapText="1"/>
    </xf>
    <xf numFmtId="0" fontId="452" fillId="0" borderId="0" xfId="0" applyFont="1" applyAlignment="1">
      <alignment horizontal="left" wrapText="1"/>
    </xf>
    <xf numFmtId="165" fontId="453" fillId="0" borderId="0" xfId="0" applyNumberFormat="1" applyFont="1" applyAlignment="1">
      <alignment horizontal="right" wrapText="1"/>
    </xf>
    <xf numFmtId="0" fontId="454" fillId="0" borderId="0" xfId="0" applyFont="1" applyAlignment="1">
      <alignment horizontal="left" wrapText="1"/>
    </xf>
    <xf numFmtId="165" fontId="455" fillId="0" borderId="0" xfId="0" applyNumberFormat="1" applyFont="1" applyAlignment="1">
      <alignment horizontal="right" wrapText="1"/>
    </xf>
    <xf numFmtId="0" fontId="456" fillId="0" borderId="0" xfId="0" applyFont="1" applyAlignment="1">
      <alignment horizontal="left" wrapText="1"/>
    </xf>
    <xf numFmtId="165" fontId="457" fillId="0" borderId="0" xfId="0" applyNumberFormat="1" applyFont="1" applyAlignment="1">
      <alignment horizontal="right" wrapText="1"/>
    </xf>
    <xf numFmtId="0" fontId="458" fillId="0" borderId="0" xfId="0" applyFont="1" applyAlignment="1">
      <alignment horizontal="left" wrapText="1"/>
    </xf>
    <xf numFmtId="165" fontId="459" fillId="0" borderId="0" xfId="0" applyNumberFormat="1" applyFont="1" applyAlignment="1">
      <alignment horizontal="right" wrapText="1"/>
    </xf>
    <xf numFmtId="0" fontId="460" fillId="0" borderId="0" xfId="0" applyFont="1" applyAlignment="1">
      <alignment horizontal="left" wrapText="1"/>
    </xf>
    <xf numFmtId="165" fontId="461" fillId="0" borderId="0" xfId="0" applyNumberFormat="1" applyFont="1" applyAlignment="1">
      <alignment horizontal="right" wrapText="1"/>
    </xf>
    <xf numFmtId="0" fontId="462" fillId="0" borderId="0" xfId="0" applyFont="1" applyAlignment="1">
      <alignment horizontal="left" wrapText="1"/>
    </xf>
    <xf numFmtId="165" fontId="463" fillId="0" borderId="0" xfId="0" applyNumberFormat="1" applyFont="1" applyAlignment="1">
      <alignment horizontal="right" wrapText="1"/>
    </xf>
    <xf numFmtId="0" fontId="464" fillId="0" borderId="0" xfId="0" applyFont="1" applyAlignment="1">
      <alignment horizontal="left" wrapText="1"/>
    </xf>
    <xf numFmtId="165" fontId="465" fillId="0" borderId="0" xfId="0" applyNumberFormat="1" applyFont="1" applyAlignment="1">
      <alignment horizontal="right" wrapText="1"/>
    </xf>
    <xf numFmtId="0" fontId="466" fillId="0" borderId="0" xfId="0" applyFont="1" applyAlignment="1">
      <alignment horizontal="left" wrapText="1"/>
    </xf>
    <xf numFmtId="165" fontId="467" fillId="0" borderId="0" xfId="0" applyNumberFormat="1" applyFont="1" applyAlignment="1">
      <alignment horizontal="right" wrapText="1"/>
    </xf>
    <xf numFmtId="0" fontId="468" fillId="0" borderId="0" xfId="0" applyFont="1" applyAlignment="1">
      <alignment horizontal="left" wrapText="1"/>
    </xf>
    <xf numFmtId="165" fontId="469" fillId="0" borderId="0" xfId="0" applyNumberFormat="1" applyFont="1" applyAlignment="1">
      <alignment horizontal="right" wrapText="1"/>
    </xf>
    <xf numFmtId="0" fontId="470" fillId="0" borderId="0" xfId="0" applyFont="1" applyAlignment="1">
      <alignment horizontal="left" wrapText="1"/>
    </xf>
    <xf numFmtId="165" fontId="471" fillId="0" borderId="0" xfId="0" applyNumberFormat="1" applyFont="1" applyAlignment="1">
      <alignment horizontal="right" wrapText="1"/>
    </xf>
    <xf numFmtId="0" fontId="472" fillId="0" borderId="0" xfId="0" applyFont="1" applyAlignment="1">
      <alignment horizontal="left" wrapText="1"/>
    </xf>
    <xf numFmtId="165" fontId="473" fillId="0" borderId="0" xfId="0" applyNumberFormat="1" applyFont="1" applyAlignment="1">
      <alignment horizontal="right" wrapText="1"/>
    </xf>
    <xf numFmtId="0" fontId="474" fillId="0" borderId="0" xfId="0" applyFont="1" applyAlignment="1">
      <alignment horizontal="left" wrapText="1"/>
    </xf>
    <xf numFmtId="165" fontId="475" fillId="0" borderId="0" xfId="0" applyNumberFormat="1" applyFont="1" applyAlignment="1">
      <alignment horizontal="right" wrapText="1"/>
    </xf>
    <xf numFmtId="0" fontId="476" fillId="0" borderId="0" xfId="0" applyFont="1" applyAlignment="1">
      <alignment horizontal="left" wrapText="1"/>
    </xf>
    <xf numFmtId="165" fontId="477" fillId="0" borderId="0" xfId="0" applyNumberFormat="1" applyFont="1" applyAlignment="1">
      <alignment horizontal="right" wrapText="1"/>
    </xf>
    <xf numFmtId="0" fontId="478" fillId="0" borderId="0" xfId="0" applyFont="1" applyAlignment="1">
      <alignment horizontal="left" wrapText="1"/>
    </xf>
    <xf numFmtId="165" fontId="479" fillId="0" borderId="0" xfId="0" applyNumberFormat="1" applyFont="1" applyAlignment="1">
      <alignment horizontal="right" wrapText="1"/>
    </xf>
    <xf numFmtId="0" fontId="480" fillId="0" borderId="0" xfId="0" applyFont="1" applyAlignment="1">
      <alignment horizontal="left" wrapText="1"/>
    </xf>
    <xf numFmtId="165" fontId="481" fillId="0" borderId="0" xfId="0" applyNumberFormat="1" applyFont="1" applyAlignment="1">
      <alignment horizontal="right" wrapText="1"/>
    </xf>
    <xf numFmtId="0" fontId="482" fillId="0" borderId="0" xfId="0" applyFont="1" applyAlignment="1">
      <alignment horizontal="left" wrapText="1"/>
    </xf>
    <xf numFmtId="165" fontId="483" fillId="0" borderId="0" xfId="0" applyNumberFormat="1" applyFont="1" applyAlignment="1">
      <alignment horizontal="right" wrapText="1"/>
    </xf>
    <xf numFmtId="0" fontId="484" fillId="0" borderId="0" xfId="0" applyFont="1" applyAlignment="1">
      <alignment horizontal="left" wrapText="1"/>
    </xf>
    <xf numFmtId="165" fontId="485" fillId="0" borderId="0" xfId="0" applyNumberFormat="1" applyFont="1" applyAlignment="1">
      <alignment horizontal="right" wrapText="1"/>
    </xf>
    <xf numFmtId="0" fontId="486" fillId="0" borderId="0" xfId="0" applyFont="1" applyAlignment="1">
      <alignment horizontal="left" wrapText="1"/>
    </xf>
    <xf numFmtId="165" fontId="487" fillId="0" borderId="0" xfId="0" applyNumberFormat="1" applyFont="1" applyAlignment="1">
      <alignment horizontal="right" wrapText="1"/>
    </xf>
    <xf numFmtId="0" fontId="488" fillId="0" borderId="0" xfId="0" applyFont="1" applyAlignment="1">
      <alignment horizontal="left" wrapText="1"/>
    </xf>
    <xf numFmtId="165" fontId="489" fillId="0" borderId="0" xfId="0" applyNumberFormat="1" applyFont="1" applyAlignment="1">
      <alignment horizontal="right" wrapText="1"/>
    </xf>
    <xf numFmtId="0" fontId="490" fillId="0" borderId="0" xfId="0" applyFont="1" applyAlignment="1">
      <alignment horizontal="left" wrapText="1"/>
    </xf>
    <xf numFmtId="165" fontId="491" fillId="0" borderId="0" xfId="0" applyNumberFormat="1" applyFont="1" applyAlignment="1">
      <alignment horizontal="right" wrapText="1"/>
    </xf>
    <xf numFmtId="0" fontId="492" fillId="0" borderId="0" xfId="0" applyFont="1" applyAlignment="1">
      <alignment horizontal="left" wrapText="1"/>
    </xf>
    <xf numFmtId="165" fontId="493" fillId="0" borderId="0" xfId="0" applyNumberFormat="1" applyFont="1" applyAlignment="1">
      <alignment horizontal="right" wrapText="1"/>
    </xf>
    <xf numFmtId="0" fontId="494" fillId="0" borderId="0" xfId="0" applyFont="1" applyAlignment="1">
      <alignment horizontal="left" wrapText="1"/>
    </xf>
    <xf numFmtId="165" fontId="495" fillId="0" borderId="0" xfId="0" applyNumberFormat="1" applyFont="1" applyAlignment="1">
      <alignment horizontal="right" wrapText="1"/>
    </xf>
    <xf numFmtId="0" fontId="496" fillId="0" borderId="0" xfId="0" applyFont="1" applyAlignment="1">
      <alignment horizontal="left" wrapText="1"/>
    </xf>
    <xf numFmtId="165" fontId="497" fillId="0" borderId="0" xfId="0" applyNumberFormat="1" applyFont="1" applyAlignment="1">
      <alignment horizontal="right" wrapText="1"/>
    </xf>
    <xf numFmtId="0" fontId="498" fillId="0" borderId="0" xfId="0" applyFont="1" applyAlignment="1">
      <alignment horizontal="left" wrapText="1"/>
    </xf>
    <xf numFmtId="165" fontId="499" fillId="0" borderId="0" xfId="0" applyNumberFormat="1" applyFont="1" applyAlignment="1">
      <alignment horizontal="right" wrapText="1"/>
    </xf>
    <xf numFmtId="0" fontId="500" fillId="0" borderId="0" xfId="0" applyFont="1" applyAlignment="1">
      <alignment horizontal="left" wrapText="1"/>
    </xf>
    <xf numFmtId="165" fontId="501" fillId="0" borderId="0" xfId="0" applyNumberFormat="1" applyFont="1" applyAlignment="1">
      <alignment horizontal="right" wrapText="1"/>
    </xf>
    <xf numFmtId="0" fontId="502" fillId="0" borderId="0" xfId="0" applyFont="1" applyAlignment="1">
      <alignment horizontal="left" wrapText="1"/>
    </xf>
    <xf numFmtId="165" fontId="503" fillId="0" borderId="0" xfId="0" applyNumberFormat="1" applyFont="1" applyAlignment="1">
      <alignment horizontal="right" wrapText="1"/>
    </xf>
    <xf numFmtId="0" fontId="504" fillId="0" borderId="0" xfId="0" applyFont="1" applyAlignment="1">
      <alignment horizontal="left" wrapText="1"/>
    </xf>
    <xf numFmtId="165" fontId="505" fillId="0" borderId="0" xfId="0" applyNumberFormat="1" applyFont="1" applyAlignment="1">
      <alignment horizontal="right" wrapText="1"/>
    </xf>
    <xf numFmtId="0" fontId="506" fillId="0" borderId="0" xfId="0" applyFont="1" applyAlignment="1">
      <alignment horizontal="left" wrapText="1"/>
    </xf>
    <xf numFmtId="165" fontId="507" fillId="0" borderId="0" xfId="0" applyNumberFormat="1" applyFont="1" applyAlignment="1">
      <alignment horizontal="right" wrapText="1"/>
    </xf>
    <xf numFmtId="0" fontId="508" fillId="0" borderId="0" xfId="0" applyFont="1" applyAlignment="1">
      <alignment horizontal="left" wrapText="1"/>
    </xf>
    <xf numFmtId="165" fontId="509" fillId="0" borderId="0" xfId="0" applyNumberFormat="1" applyFont="1" applyAlignment="1">
      <alignment horizontal="right" wrapText="1"/>
    </xf>
    <xf numFmtId="0" fontId="510" fillId="0" borderId="0" xfId="0" applyFont="1" applyAlignment="1">
      <alignment horizontal="left" wrapText="1"/>
    </xf>
    <xf numFmtId="165" fontId="511" fillId="0" borderId="0" xfId="0" applyNumberFormat="1" applyFont="1" applyAlignment="1">
      <alignment horizontal="right" wrapText="1"/>
    </xf>
    <xf numFmtId="0" fontId="512" fillId="0" borderId="0" xfId="0" applyFont="1" applyAlignment="1">
      <alignment horizontal="left" wrapText="1"/>
    </xf>
    <xf numFmtId="165" fontId="513" fillId="0" borderId="0" xfId="0" applyNumberFormat="1" applyFont="1" applyAlignment="1">
      <alignment horizontal="right" wrapText="1"/>
    </xf>
    <xf numFmtId="0" fontId="514" fillId="0" borderId="0" xfId="0" applyFont="1" applyAlignment="1">
      <alignment horizontal="left" wrapText="1"/>
    </xf>
    <xf numFmtId="165" fontId="515" fillId="0" borderId="0" xfId="0" applyNumberFormat="1" applyFont="1" applyAlignment="1">
      <alignment horizontal="right" wrapText="1"/>
    </xf>
    <xf numFmtId="0" fontId="516" fillId="0" borderId="0" xfId="0" applyFont="1" applyAlignment="1">
      <alignment horizontal="left" wrapText="1"/>
    </xf>
    <xf numFmtId="165" fontId="517" fillId="0" borderId="0" xfId="0" applyNumberFormat="1" applyFont="1" applyAlignment="1">
      <alignment horizontal="right" wrapText="1"/>
    </xf>
    <xf numFmtId="0" fontId="518" fillId="0" borderId="0" xfId="0" applyFont="1" applyAlignment="1">
      <alignment horizontal="left" wrapText="1"/>
    </xf>
    <xf numFmtId="165" fontId="519" fillId="0" borderId="0" xfId="0" applyNumberFormat="1" applyFont="1" applyAlignment="1">
      <alignment horizontal="right" wrapText="1"/>
    </xf>
    <xf numFmtId="0" fontId="520" fillId="0" borderId="0" xfId="0" applyFont="1" applyAlignment="1">
      <alignment horizontal="left" wrapText="1"/>
    </xf>
    <xf numFmtId="165" fontId="521" fillId="0" borderId="0" xfId="0" applyNumberFormat="1" applyFont="1" applyAlignment="1">
      <alignment horizontal="right" wrapText="1"/>
    </xf>
    <xf numFmtId="0" fontId="522" fillId="0" borderId="0" xfId="0" applyFont="1" applyAlignment="1">
      <alignment horizontal="left" wrapText="1"/>
    </xf>
    <xf numFmtId="165" fontId="523" fillId="0" borderId="0" xfId="0" applyNumberFormat="1" applyFont="1" applyAlignment="1">
      <alignment horizontal="right" wrapText="1"/>
    </xf>
    <xf numFmtId="0" fontId="524" fillId="0" borderId="0" xfId="0" applyFont="1" applyAlignment="1">
      <alignment horizontal="left" wrapText="1"/>
    </xf>
    <xf numFmtId="165" fontId="525" fillId="0" borderId="0" xfId="0" applyNumberFormat="1" applyFont="1" applyAlignment="1">
      <alignment horizontal="right" wrapText="1"/>
    </xf>
    <xf numFmtId="0" fontId="526" fillId="0" borderId="0" xfId="0" applyFont="1" applyAlignment="1">
      <alignment horizontal="left" wrapText="1"/>
    </xf>
    <xf numFmtId="165" fontId="527" fillId="0" borderId="0" xfId="0" applyNumberFormat="1" applyFont="1" applyAlignment="1">
      <alignment horizontal="right" wrapText="1"/>
    </xf>
    <xf numFmtId="0" fontId="528" fillId="0" borderId="0" xfId="0" applyFont="1" applyAlignment="1">
      <alignment horizontal="left" wrapText="1"/>
    </xf>
    <xf numFmtId="165" fontId="529" fillId="0" borderId="0" xfId="0" applyNumberFormat="1" applyFont="1" applyAlignment="1">
      <alignment horizontal="right" wrapText="1"/>
    </xf>
    <xf numFmtId="0" fontId="530" fillId="0" borderId="0" xfId="0" applyFont="1" applyAlignment="1">
      <alignment horizontal="left" wrapText="1"/>
    </xf>
    <xf numFmtId="165" fontId="531" fillId="0" borderId="0" xfId="0" applyNumberFormat="1" applyFont="1" applyAlignment="1">
      <alignment horizontal="right" wrapText="1"/>
    </xf>
    <xf numFmtId="0" fontId="532" fillId="0" borderId="0" xfId="0" applyFont="1" applyAlignment="1">
      <alignment horizontal="left" wrapText="1"/>
    </xf>
    <xf numFmtId="165" fontId="533" fillId="0" borderId="0" xfId="0" applyNumberFormat="1" applyFont="1" applyAlignment="1">
      <alignment horizontal="right" wrapText="1"/>
    </xf>
    <xf numFmtId="0" fontId="534" fillId="0" borderId="0" xfId="0" applyFont="1" applyAlignment="1">
      <alignment horizontal="left" wrapText="1"/>
    </xf>
    <xf numFmtId="165" fontId="535" fillId="0" borderId="0" xfId="0" applyNumberFormat="1" applyFont="1" applyAlignment="1">
      <alignment horizontal="right" wrapText="1"/>
    </xf>
    <xf numFmtId="0" fontId="536" fillId="0" borderId="0" xfId="0" applyFont="1" applyAlignment="1">
      <alignment horizontal="left" wrapText="1"/>
    </xf>
    <xf numFmtId="165" fontId="537" fillId="0" borderId="0" xfId="0" applyNumberFormat="1" applyFont="1" applyAlignment="1">
      <alignment horizontal="right" wrapText="1"/>
    </xf>
    <xf numFmtId="0" fontId="538" fillId="0" borderId="0" xfId="0" applyFont="1" applyAlignment="1">
      <alignment horizontal="left" wrapText="1"/>
    </xf>
    <xf numFmtId="165" fontId="539" fillId="0" borderId="0" xfId="0" applyNumberFormat="1" applyFont="1" applyAlignment="1">
      <alignment horizontal="right" wrapText="1"/>
    </xf>
    <xf numFmtId="0" fontId="540" fillId="0" borderId="0" xfId="0" applyFont="1" applyAlignment="1">
      <alignment horizontal="left" wrapText="1"/>
    </xf>
    <xf numFmtId="165" fontId="541" fillId="0" borderId="0" xfId="0" applyNumberFormat="1" applyFont="1" applyAlignment="1">
      <alignment horizontal="right" wrapText="1"/>
    </xf>
    <xf numFmtId="0" fontId="542" fillId="0" borderId="0" xfId="0" applyFont="1" applyAlignment="1">
      <alignment horizontal="left" wrapText="1"/>
    </xf>
    <xf numFmtId="165" fontId="543" fillId="0" borderId="0" xfId="0" applyNumberFormat="1" applyFont="1" applyAlignment="1">
      <alignment horizontal="right" wrapText="1"/>
    </xf>
    <xf numFmtId="0" fontId="544" fillId="0" borderId="0" xfId="0" applyFont="1" applyAlignment="1">
      <alignment horizontal="left" wrapText="1"/>
    </xf>
    <xf numFmtId="165" fontId="545" fillId="0" borderId="0" xfId="0" applyNumberFormat="1" applyFont="1" applyAlignment="1">
      <alignment horizontal="right" wrapText="1"/>
    </xf>
    <xf numFmtId="0" fontId="546" fillId="0" borderId="0" xfId="0" applyFont="1" applyAlignment="1">
      <alignment horizontal="left" wrapText="1"/>
    </xf>
    <xf numFmtId="165" fontId="547" fillId="0" borderId="0" xfId="0" applyNumberFormat="1" applyFont="1" applyAlignment="1">
      <alignment horizontal="right" wrapText="1"/>
    </xf>
    <xf numFmtId="0" fontId="548" fillId="0" borderId="0" xfId="0" applyFont="1" applyAlignment="1">
      <alignment horizontal="left" wrapText="1"/>
    </xf>
    <xf numFmtId="165" fontId="549" fillId="0" borderId="0" xfId="0" applyNumberFormat="1" applyFont="1" applyAlignment="1">
      <alignment horizontal="right" wrapText="1"/>
    </xf>
    <xf numFmtId="0" fontId="550" fillId="0" borderId="0" xfId="0" applyFont="1" applyAlignment="1">
      <alignment horizontal="left" wrapText="1"/>
    </xf>
    <xf numFmtId="165" fontId="551" fillId="0" borderId="0" xfId="0" applyNumberFormat="1" applyFont="1" applyAlignment="1">
      <alignment horizontal="right" wrapText="1"/>
    </xf>
    <xf numFmtId="0" fontId="552" fillId="0" borderId="0" xfId="0" applyFont="1" applyAlignment="1">
      <alignment horizontal="left" wrapText="1"/>
    </xf>
    <xf numFmtId="165" fontId="553" fillId="0" borderId="0" xfId="0" applyNumberFormat="1" applyFont="1" applyAlignment="1">
      <alignment horizontal="right" wrapText="1"/>
    </xf>
    <xf numFmtId="0" fontId="554" fillId="0" borderId="0" xfId="0" applyFont="1" applyAlignment="1">
      <alignment horizontal="left" wrapText="1"/>
    </xf>
    <xf numFmtId="165" fontId="555" fillId="0" borderId="0" xfId="0" applyNumberFormat="1" applyFont="1" applyAlignment="1">
      <alignment horizontal="right" wrapText="1"/>
    </xf>
    <xf numFmtId="0" fontId="556" fillId="0" borderId="0" xfId="0" applyFont="1" applyAlignment="1">
      <alignment horizontal="left" wrapText="1"/>
    </xf>
    <xf numFmtId="165" fontId="557" fillId="0" borderId="0" xfId="0" applyNumberFormat="1" applyFont="1" applyAlignment="1">
      <alignment horizontal="right" wrapText="1"/>
    </xf>
    <xf numFmtId="0" fontId="558" fillId="0" borderId="0" xfId="0" applyFont="1" applyAlignment="1">
      <alignment horizontal="left" wrapText="1"/>
    </xf>
    <xf numFmtId="165" fontId="559" fillId="0" borderId="0" xfId="0" applyNumberFormat="1" applyFont="1" applyAlignment="1">
      <alignment horizontal="right" wrapText="1"/>
    </xf>
    <xf numFmtId="0" fontId="560" fillId="0" borderId="0" xfId="0" applyFont="1" applyAlignment="1">
      <alignment horizontal="left" wrapText="1"/>
    </xf>
    <xf numFmtId="165" fontId="561" fillId="0" borderId="0" xfId="0" applyNumberFormat="1" applyFont="1" applyAlignment="1">
      <alignment horizontal="right" wrapText="1"/>
    </xf>
    <xf numFmtId="0" fontId="562" fillId="0" borderId="0" xfId="0" applyFont="1" applyAlignment="1">
      <alignment horizontal="left" wrapText="1"/>
    </xf>
    <xf numFmtId="165" fontId="563" fillId="0" borderId="0" xfId="0" applyNumberFormat="1" applyFont="1" applyAlignment="1">
      <alignment horizontal="right" wrapText="1"/>
    </xf>
    <xf numFmtId="0" fontId="564" fillId="0" borderId="0" xfId="0" applyFont="1" applyAlignment="1">
      <alignment horizontal="left" wrapText="1"/>
    </xf>
    <xf numFmtId="165" fontId="565" fillId="0" borderId="0" xfId="0" applyNumberFormat="1" applyFont="1" applyAlignment="1">
      <alignment horizontal="right" wrapText="1"/>
    </xf>
    <xf numFmtId="0" fontId="566" fillId="0" borderId="0" xfId="0" applyFont="1" applyAlignment="1">
      <alignment horizontal="left" wrapText="1"/>
    </xf>
    <xf numFmtId="165" fontId="567" fillId="0" borderId="0" xfId="0" applyNumberFormat="1" applyFont="1" applyAlignment="1">
      <alignment horizontal="right" wrapText="1"/>
    </xf>
    <xf numFmtId="0" fontId="568" fillId="0" borderId="0" xfId="0" applyFont="1" applyAlignment="1">
      <alignment horizontal="left" wrapText="1"/>
    </xf>
    <xf numFmtId="165" fontId="569" fillId="0" borderId="0" xfId="0" applyNumberFormat="1" applyFont="1" applyAlignment="1">
      <alignment horizontal="right" wrapText="1"/>
    </xf>
    <xf numFmtId="0" fontId="570" fillId="0" borderId="0" xfId="0" applyFont="1" applyAlignment="1">
      <alignment horizontal="left" wrapText="1"/>
    </xf>
    <xf numFmtId="165" fontId="571" fillId="0" borderId="0" xfId="0" applyNumberFormat="1" applyFont="1" applyAlignment="1">
      <alignment horizontal="right" wrapText="1"/>
    </xf>
    <xf numFmtId="0" fontId="572" fillId="0" borderId="0" xfId="0" applyFont="1" applyAlignment="1">
      <alignment horizontal="left" wrapText="1"/>
    </xf>
    <xf numFmtId="165" fontId="573" fillId="0" borderId="0" xfId="0" applyNumberFormat="1" applyFont="1" applyAlignment="1">
      <alignment horizontal="right" wrapText="1"/>
    </xf>
    <xf numFmtId="0" fontId="574" fillId="0" borderId="0" xfId="0" applyFont="1" applyAlignment="1">
      <alignment horizontal="left" wrapText="1"/>
    </xf>
    <xf numFmtId="165" fontId="575" fillId="0" borderId="0" xfId="0" applyNumberFormat="1" applyFont="1" applyAlignment="1">
      <alignment horizontal="right" wrapText="1"/>
    </xf>
    <xf numFmtId="0" fontId="576" fillId="0" borderId="0" xfId="0" applyFont="1" applyAlignment="1">
      <alignment horizontal="left" wrapText="1"/>
    </xf>
    <xf numFmtId="165" fontId="577" fillId="0" borderId="0" xfId="0" applyNumberFormat="1" applyFont="1" applyAlignment="1">
      <alignment horizontal="right" wrapText="1"/>
    </xf>
    <xf numFmtId="0" fontId="578" fillId="0" borderId="0" xfId="0" applyFont="1" applyAlignment="1">
      <alignment horizontal="left" wrapText="1"/>
    </xf>
    <xf numFmtId="165" fontId="579" fillId="0" borderId="0" xfId="0" applyNumberFormat="1" applyFont="1" applyAlignment="1">
      <alignment horizontal="right" wrapText="1"/>
    </xf>
    <xf numFmtId="0" fontId="580" fillId="0" borderId="0" xfId="0" applyFont="1" applyAlignment="1">
      <alignment horizontal="left" wrapText="1"/>
    </xf>
    <xf numFmtId="165" fontId="581" fillId="0" borderId="0" xfId="0" applyNumberFormat="1" applyFont="1" applyAlignment="1">
      <alignment horizontal="right" wrapText="1"/>
    </xf>
    <xf numFmtId="0" fontId="582" fillId="0" borderId="0" xfId="0" applyFont="1" applyAlignment="1">
      <alignment horizontal="left" wrapText="1"/>
    </xf>
    <xf numFmtId="165" fontId="583" fillId="0" borderId="0" xfId="0" applyNumberFormat="1" applyFont="1" applyAlignment="1">
      <alignment horizontal="right" wrapText="1"/>
    </xf>
    <xf numFmtId="0" fontId="584" fillId="0" borderId="0" xfId="0" applyFont="1" applyAlignment="1">
      <alignment horizontal="left" wrapText="1"/>
    </xf>
    <xf numFmtId="165" fontId="585" fillId="0" borderId="0" xfId="0" applyNumberFormat="1" applyFont="1" applyAlignment="1">
      <alignment horizontal="right" wrapText="1"/>
    </xf>
    <xf numFmtId="0" fontId="586" fillId="0" borderId="0" xfId="0" applyFont="1" applyAlignment="1">
      <alignment horizontal="left" wrapText="1"/>
    </xf>
    <xf numFmtId="165" fontId="587" fillId="0" borderId="0" xfId="0" applyNumberFormat="1" applyFont="1" applyAlignment="1">
      <alignment horizontal="right" wrapText="1"/>
    </xf>
    <xf numFmtId="0" fontId="588" fillId="0" borderId="0" xfId="0" applyFont="1" applyAlignment="1">
      <alignment horizontal="left" wrapText="1"/>
    </xf>
    <xf numFmtId="165" fontId="589" fillId="0" borderId="0" xfId="0" applyNumberFormat="1" applyFont="1" applyAlignment="1">
      <alignment horizontal="right" wrapText="1"/>
    </xf>
    <xf numFmtId="0" fontId="590" fillId="0" borderId="0" xfId="0" applyFont="1" applyAlignment="1">
      <alignment horizontal="left" wrapText="1"/>
    </xf>
    <xf numFmtId="165" fontId="591" fillId="0" borderId="0" xfId="0" applyNumberFormat="1" applyFont="1" applyAlignment="1">
      <alignment horizontal="right" wrapText="1"/>
    </xf>
    <xf numFmtId="0" fontId="592" fillId="0" borderId="0" xfId="0" applyFont="1" applyAlignment="1">
      <alignment horizontal="left" wrapText="1"/>
    </xf>
    <xf numFmtId="165" fontId="593" fillId="0" borderId="0" xfId="0" applyNumberFormat="1" applyFont="1" applyAlignment="1">
      <alignment horizontal="right" wrapText="1"/>
    </xf>
    <xf numFmtId="0" fontId="594" fillId="0" borderId="0" xfId="0" applyFont="1" applyAlignment="1">
      <alignment horizontal="left" wrapText="1"/>
    </xf>
    <xf numFmtId="165" fontId="595" fillId="0" borderId="0" xfId="0" applyNumberFormat="1" applyFont="1" applyAlignment="1">
      <alignment horizontal="right" wrapText="1"/>
    </xf>
    <xf numFmtId="0" fontId="596" fillId="0" borderId="0" xfId="0" applyFont="1" applyAlignment="1">
      <alignment horizontal="left" wrapText="1"/>
    </xf>
    <xf numFmtId="165" fontId="597" fillId="0" borderId="0" xfId="0" applyNumberFormat="1" applyFont="1" applyAlignment="1">
      <alignment horizontal="right" wrapText="1"/>
    </xf>
    <xf numFmtId="0" fontId="598" fillId="0" borderId="0" xfId="0" applyFont="1" applyAlignment="1">
      <alignment horizontal="left" wrapText="1"/>
    </xf>
    <xf numFmtId="165" fontId="599" fillId="0" borderId="0" xfId="0" applyNumberFormat="1" applyFont="1" applyAlignment="1">
      <alignment horizontal="right" wrapText="1"/>
    </xf>
    <xf numFmtId="0" fontId="600" fillId="0" borderId="0" xfId="0" applyFont="1" applyAlignment="1">
      <alignment horizontal="left" wrapText="1"/>
    </xf>
    <xf numFmtId="165" fontId="601" fillId="0" borderId="0" xfId="0" applyNumberFormat="1" applyFont="1" applyAlignment="1">
      <alignment horizontal="right" wrapText="1"/>
    </xf>
    <xf numFmtId="0" fontId="602" fillId="0" borderId="0" xfId="0" applyFont="1" applyAlignment="1">
      <alignment horizontal="left" wrapText="1"/>
    </xf>
    <xf numFmtId="165" fontId="603" fillId="0" borderId="0" xfId="0" applyNumberFormat="1" applyFont="1" applyAlignment="1">
      <alignment horizontal="right" wrapText="1"/>
    </xf>
    <xf numFmtId="0" fontId="604" fillId="0" borderId="0" xfId="0" applyFont="1" applyAlignment="1">
      <alignment horizontal="left" wrapText="1"/>
    </xf>
    <xf numFmtId="165" fontId="605" fillId="0" borderId="0" xfId="0" applyNumberFormat="1" applyFont="1" applyAlignment="1">
      <alignment horizontal="right" wrapText="1"/>
    </xf>
    <xf numFmtId="0" fontId="606" fillId="0" borderId="0" xfId="0" applyFont="1" applyAlignment="1">
      <alignment horizontal="left" wrapText="1"/>
    </xf>
    <xf numFmtId="165" fontId="607" fillId="0" borderId="0" xfId="0" applyNumberFormat="1" applyFont="1" applyAlignment="1">
      <alignment horizontal="right" wrapText="1"/>
    </xf>
    <xf numFmtId="0" fontId="608" fillId="0" borderId="0" xfId="0" applyFont="1" applyAlignment="1">
      <alignment horizontal="left" wrapText="1"/>
    </xf>
    <xf numFmtId="165" fontId="609" fillId="0" borderId="0" xfId="0" applyNumberFormat="1" applyFont="1" applyAlignment="1">
      <alignment horizontal="right" wrapText="1"/>
    </xf>
    <xf numFmtId="0" fontId="610" fillId="0" borderId="0" xfId="0" applyFont="1" applyAlignment="1">
      <alignment horizontal="left" wrapText="1"/>
    </xf>
    <xf numFmtId="165" fontId="611" fillId="0" borderId="0" xfId="0" applyNumberFormat="1" applyFont="1" applyAlignment="1">
      <alignment horizontal="right" wrapText="1"/>
    </xf>
    <xf numFmtId="0" fontId="612" fillId="0" borderId="0" xfId="0" applyFont="1" applyAlignment="1">
      <alignment horizontal="left" wrapText="1"/>
    </xf>
    <xf numFmtId="165" fontId="613" fillId="0" borderId="0" xfId="0" applyNumberFormat="1" applyFont="1" applyAlignment="1">
      <alignment horizontal="right" wrapText="1"/>
    </xf>
    <xf numFmtId="0" fontId="614" fillId="0" borderId="0" xfId="0" applyFont="1" applyAlignment="1">
      <alignment horizontal="left" wrapText="1"/>
    </xf>
    <xf numFmtId="165" fontId="615" fillId="0" borderId="0" xfId="0" applyNumberFormat="1" applyFont="1" applyAlignment="1">
      <alignment horizontal="right" wrapText="1"/>
    </xf>
    <xf numFmtId="0" fontId="616" fillId="0" borderId="0" xfId="0" applyFont="1" applyAlignment="1">
      <alignment horizontal="left" wrapText="1"/>
    </xf>
    <xf numFmtId="165" fontId="617" fillId="0" borderId="0" xfId="0" applyNumberFormat="1" applyFont="1" applyAlignment="1">
      <alignment horizontal="right" wrapText="1"/>
    </xf>
    <xf numFmtId="0" fontId="618" fillId="0" borderId="0" xfId="0" applyFont="1" applyAlignment="1">
      <alignment horizontal="left" wrapText="1"/>
    </xf>
    <xf numFmtId="165" fontId="619" fillId="0" borderId="0" xfId="0" applyNumberFormat="1" applyFont="1" applyAlignment="1">
      <alignment horizontal="right" wrapText="1"/>
    </xf>
    <xf numFmtId="0" fontId="620" fillId="0" borderId="0" xfId="0" applyFont="1" applyAlignment="1">
      <alignment horizontal="left" wrapText="1"/>
    </xf>
    <xf numFmtId="165" fontId="621" fillId="0" borderId="0" xfId="0" applyNumberFormat="1" applyFont="1" applyAlignment="1">
      <alignment horizontal="right" wrapText="1"/>
    </xf>
    <xf numFmtId="0" fontId="622" fillId="0" borderId="0" xfId="0" applyFont="1" applyAlignment="1">
      <alignment horizontal="left" wrapText="1"/>
    </xf>
    <xf numFmtId="165" fontId="623" fillId="0" borderId="0" xfId="0" applyNumberFormat="1" applyFont="1" applyAlignment="1">
      <alignment horizontal="right" wrapText="1"/>
    </xf>
    <xf numFmtId="0" fontId="624" fillId="0" borderId="0" xfId="0" applyFont="1" applyAlignment="1">
      <alignment horizontal="left" wrapText="1"/>
    </xf>
    <xf numFmtId="165" fontId="625" fillId="0" borderId="0" xfId="0" applyNumberFormat="1" applyFont="1" applyAlignment="1">
      <alignment horizontal="right" wrapText="1"/>
    </xf>
    <xf numFmtId="0" fontId="626" fillId="0" borderId="0" xfId="0" applyFont="1" applyAlignment="1">
      <alignment horizontal="left" wrapText="1"/>
    </xf>
    <xf numFmtId="165" fontId="627" fillId="0" borderId="0" xfId="0" applyNumberFormat="1" applyFont="1" applyAlignment="1">
      <alignment horizontal="right" wrapText="1"/>
    </xf>
    <xf numFmtId="0" fontId="628" fillId="0" borderId="0" xfId="0" applyFont="1" applyAlignment="1">
      <alignment horizontal="left" wrapText="1"/>
    </xf>
    <xf numFmtId="165" fontId="629" fillId="0" borderId="0" xfId="0" applyNumberFormat="1" applyFont="1" applyAlignment="1">
      <alignment horizontal="right" wrapText="1"/>
    </xf>
    <xf numFmtId="0" fontId="630" fillId="0" borderId="0" xfId="0" applyFont="1" applyAlignment="1">
      <alignment horizontal="left" wrapText="1"/>
    </xf>
    <xf numFmtId="165" fontId="631" fillId="0" borderId="0" xfId="0" applyNumberFormat="1" applyFont="1" applyAlignment="1">
      <alignment horizontal="right" wrapText="1"/>
    </xf>
    <xf numFmtId="0" fontId="632" fillId="0" borderId="0" xfId="0" applyFont="1" applyAlignment="1">
      <alignment horizontal="left" wrapText="1"/>
    </xf>
    <xf numFmtId="165" fontId="633" fillId="0" borderId="0" xfId="0" applyNumberFormat="1" applyFont="1" applyAlignment="1">
      <alignment horizontal="right" wrapText="1"/>
    </xf>
    <xf numFmtId="0" fontId="634" fillId="0" borderId="0" xfId="0" applyFont="1" applyAlignment="1">
      <alignment horizontal="left" wrapText="1"/>
    </xf>
    <xf numFmtId="165" fontId="635" fillId="0" borderId="0" xfId="0" applyNumberFormat="1" applyFont="1" applyAlignment="1">
      <alignment horizontal="right" wrapText="1"/>
    </xf>
    <xf numFmtId="0" fontId="636" fillId="0" borderId="0" xfId="0" applyFont="1" applyAlignment="1">
      <alignment horizontal="left" wrapText="1"/>
    </xf>
    <xf numFmtId="165" fontId="637" fillId="0" borderId="0" xfId="0" applyNumberFormat="1" applyFont="1" applyAlignment="1">
      <alignment horizontal="right" wrapText="1"/>
    </xf>
    <xf numFmtId="0" fontId="638" fillId="0" borderId="0" xfId="0" applyFont="1" applyAlignment="1">
      <alignment horizontal="left" wrapText="1"/>
    </xf>
    <xf numFmtId="165" fontId="639" fillId="0" borderId="0" xfId="0" applyNumberFormat="1" applyFont="1" applyAlignment="1">
      <alignment horizontal="right" wrapText="1"/>
    </xf>
    <xf numFmtId="0" fontId="640" fillId="0" borderId="0" xfId="0" applyFont="1" applyAlignment="1">
      <alignment horizontal="left" wrapText="1"/>
    </xf>
    <xf numFmtId="165" fontId="641" fillId="0" borderId="0" xfId="0" applyNumberFormat="1" applyFont="1" applyAlignment="1">
      <alignment horizontal="right" wrapText="1"/>
    </xf>
    <xf numFmtId="0" fontId="642" fillId="0" borderId="0" xfId="0" applyFont="1" applyAlignment="1">
      <alignment horizontal="left" wrapText="1"/>
    </xf>
    <xf numFmtId="165" fontId="643" fillId="0" borderId="0" xfId="0" applyNumberFormat="1" applyFont="1" applyAlignment="1">
      <alignment horizontal="right" wrapText="1"/>
    </xf>
    <xf numFmtId="0" fontId="644" fillId="0" borderId="0" xfId="0" applyFont="1" applyAlignment="1">
      <alignment horizontal="left" wrapText="1"/>
    </xf>
    <xf numFmtId="165" fontId="645" fillId="0" borderId="0" xfId="0" applyNumberFormat="1" applyFont="1" applyAlignment="1">
      <alignment horizontal="right" wrapText="1"/>
    </xf>
    <xf numFmtId="0" fontId="646" fillId="0" borderId="0" xfId="0" applyFont="1" applyAlignment="1">
      <alignment horizontal="left" wrapText="1"/>
    </xf>
    <xf numFmtId="165" fontId="647" fillId="0" borderId="0" xfId="0" applyNumberFormat="1" applyFont="1" applyAlignment="1">
      <alignment horizontal="right" wrapText="1"/>
    </xf>
    <xf numFmtId="0" fontId="648" fillId="0" borderId="0" xfId="0" applyFont="1" applyAlignment="1">
      <alignment horizontal="left" wrapText="1"/>
    </xf>
    <xf numFmtId="165" fontId="649" fillId="0" borderId="0" xfId="0" applyNumberFormat="1" applyFont="1" applyAlignment="1">
      <alignment horizontal="right" wrapText="1"/>
    </xf>
    <xf numFmtId="0" fontId="650" fillId="0" borderId="0" xfId="0" applyFont="1" applyAlignment="1">
      <alignment horizontal="left" wrapText="1"/>
    </xf>
    <xf numFmtId="165" fontId="651" fillId="0" borderId="0" xfId="0" applyNumberFormat="1" applyFont="1" applyAlignment="1">
      <alignment horizontal="right" wrapText="1"/>
    </xf>
    <xf numFmtId="0" fontId="652" fillId="0" borderId="0" xfId="0" applyFont="1" applyAlignment="1">
      <alignment horizontal="left" wrapText="1"/>
    </xf>
    <xf numFmtId="165" fontId="653" fillId="0" borderId="0" xfId="0" applyNumberFormat="1" applyFont="1" applyAlignment="1">
      <alignment horizontal="right" wrapText="1"/>
    </xf>
    <xf numFmtId="0" fontId="654" fillId="0" borderId="0" xfId="0" applyFont="1" applyAlignment="1">
      <alignment horizontal="left" wrapText="1"/>
    </xf>
    <xf numFmtId="165" fontId="655" fillId="0" borderId="0" xfId="0" applyNumberFormat="1" applyFont="1" applyAlignment="1">
      <alignment horizontal="right" wrapText="1"/>
    </xf>
    <xf numFmtId="0" fontId="656" fillId="0" borderId="0" xfId="0" applyFont="1" applyAlignment="1">
      <alignment horizontal="left" wrapText="1"/>
    </xf>
    <xf numFmtId="165" fontId="657" fillId="0" borderId="0" xfId="0" applyNumberFormat="1" applyFont="1" applyAlignment="1">
      <alignment horizontal="right" wrapText="1"/>
    </xf>
    <xf numFmtId="0" fontId="658" fillId="0" borderId="0" xfId="0" applyFont="1" applyAlignment="1">
      <alignment horizontal="left" wrapText="1"/>
    </xf>
    <xf numFmtId="165" fontId="659" fillId="0" borderId="0" xfId="0" applyNumberFormat="1" applyFont="1" applyAlignment="1">
      <alignment horizontal="right" wrapText="1"/>
    </xf>
    <xf numFmtId="0" fontId="660" fillId="0" borderId="0" xfId="0" applyFont="1" applyAlignment="1">
      <alignment horizontal="left" wrapText="1"/>
    </xf>
    <xf numFmtId="165" fontId="661" fillId="0" borderId="0" xfId="0" applyNumberFormat="1" applyFont="1" applyAlignment="1">
      <alignment horizontal="right" wrapText="1"/>
    </xf>
    <xf numFmtId="0" fontId="662" fillId="0" borderId="0" xfId="0" applyFont="1" applyAlignment="1">
      <alignment horizontal="left" wrapText="1"/>
    </xf>
    <xf numFmtId="165" fontId="663" fillId="0" borderId="0" xfId="0" applyNumberFormat="1" applyFont="1" applyAlignment="1">
      <alignment horizontal="right" wrapText="1"/>
    </xf>
    <xf numFmtId="0" fontId="664" fillId="0" borderId="0" xfId="0" applyFont="1" applyAlignment="1">
      <alignment horizontal="left" wrapText="1"/>
    </xf>
    <xf numFmtId="165" fontId="665" fillId="0" borderId="0" xfId="0" applyNumberFormat="1" applyFont="1" applyAlignment="1">
      <alignment horizontal="right" wrapText="1"/>
    </xf>
    <xf numFmtId="0" fontId="666" fillId="0" borderId="0" xfId="0" applyFont="1" applyAlignment="1">
      <alignment horizontal="left" wrapText="1"/>
    </xf>
    <xf numFmtId="165" fontId="667" fillId="0" borderId="0" xfId="0" applyNumberFormat="1" applyFont="1" applyAlignment="1">
      <alignment horizontal="right" wrapText="1"/>
    </xf>
    <xf numFmtId="0" fontId="668" fillId="0" borderId="0" xfId="0" applyFont="1" applyAlignment="1">
      <alignment horizontal="left" wrapText="1"/>
    </xf>
    <xf numFmtId="165" fontId="669" fillId="0" borderId="0" xfId="0" applyNumberFormat="1" applyFont="1" applyAlignment="1">
      <alignment horizontal="right" wrapText="1"/>
    </xf>
    <xf numFmtId="0" fontId="670" fillId="0" borderId="0" xfId="0" applyFont="1" applyAlignment="1">
      <alignment horizontal="left" wrapText="1"/>
    </xf>
    <xf numFmtId="165" fontId="671" fillId="0" borderId="0" xfId="0" applyNumberFormat="1" applyFont="1" applyAlignment="1">
      <alignment horizontal="right" wrapText="1"/>
    </xf>
    <xf numFmtId="0" fontId="672" fillId="0" borderId="0" xfId="0" applyFont="1" applyAlignment="1">
      <alignment horizontal="left" wrapText="1"/>
    </xf>
    <xf numFmtId="165" fontId="673" fillId="0" borderId="0" xfId="0" applyNumberFormat="1" applyFont="1" applyAlignment="1">
      <alignment horizontal="right" wrapText="1"/>
    </xf>
    <xf numFmtId="0" fontId="674" fillId="0" borderId="0" xfId="0" applyFont="1" applyAlignment="1">
      <alignment horizontal="left" wrapText="1"/>
    </xf>
    <xf numFmtId="165" fontId="675" fillId="0" borderId="0" xfId="0" applyNumberFormat="1" applyFont="1" applyAlignment="1">
      <alignment horizontal="right" wrapText="1"/>
    </xf>
    <xf numFmtId="0" fontId="676" fillId="0" borderId="0" xfId="0" applyFont="1" applyAlignment="1">
      <alignment horizontal="left" wrapText="1"/>
    </xf>
    <xf numFmtId="165" fontId="677" fillId="0" borderId="0" xfId="0" applyNumberFormat="1" applyFont="1" applyAlignment="1">
      <alignment horizontal="right" wrapText="1"/>
    </xf>
    <xf numFmtId="0" fontId="678" fillId="0" borderId="0" xfId="0" applyFont="1" applyAlignment="1">
      <alignment horizontal="left" wrapText="1"/>
    </xf>
    <xf numFmtId="165" fontId="679" fillId="0" borderId="0" xfId="0" applyNumberFormat="1" applyFont="1" applyAlignment="1">
      <alignment horizontal="right" wrapText="1"/>
    </xf>
    <xf numFmtId="0" fontId="680" fillId="0" borderId="0" xfId="0" applyFont="1" applyAlignment="1">
      <alignment horizontal="left" wrapText="1"/>
    </xf>
    <xf numFmtId="165" fontId="681" fillId="0" borderId="0" xfId="0" applyNumberFormat="1" applyFont="1" applyAlignment="1">
      <alignment horizontal="right" wrapText="1"/>
    </xf>
    <xf numFmtId="0" fontId="682" fillId="0" borderId="0" xfId="0" applyFont="1" applyAlignment="1">
      <alignment horizontal="left" wrapText="1"/>
    </xf>
    <xf numFmtId="165" fontId="683" fillId="0" borderId="0" xfId="0" applyNumberFormat="1" applyFont="1" applyAlignment="1">
      <alignment horizontal="right" wrapText="1"/>
    </xf>
    <xf numFmtId="0" fontId="684" fillId="0" borderId="0" xfId="0" applyFont="1" applyAlignment="1">
      <alignment horizontal="left" wrapText="1"/>
    </xf>
    <xf numFmtId="165" fontId="685" fillId="0" borderId="0" xfId="0" applyNumberFormat="1" applyFont="1" applyAlignment="1">
      <alignment horizontal="right" wrapText="1"/>
    </xf>
    <xf numFmtId="0" fontId="686" fillId="0" borderId="0" xfId="0" applyFont="1" applyAlignment="1">
      <alignment horizontal="left" wrapText="1"/>
    </xf>
    <xf numFmtId="165" fontId="687" fillId="0" borderId="0" xfId="0" applyNumberFormat="1" applyFont="1" applyAlignment="1">
      <alignment horizontal="right" wrapText="1"/>
    </xf>
    <xf numFmtId="0" fontId="688" fillId="0" borderId="0" xfId="0" applyFont="1" applyAlignment="1">
      <alignment horizontal="left" wrapText="1"/>
    </xf>
    <xf numFmtId="165" fontId="689" fillId="0" borderId="0" xfId="0" applyNumberFormat="1" applyFont="1" applyAlignment="1">
      <alignment horizontal="right" wrapText="1"/>
    </xf>
    <xf numFmtId="0" fontId="690" fillId="0" borderId="0" xfId="0" applyFont="1" applyAlignment="1">
      <alignment horizontal="left" wrapText="1"/>
    </xf>
    <xf numFmtId="165" fontId="691" fillId="0" borderId="0" xfId="0" applyNumberFormat="1" applyFont="1" applyAlignment="1">
      <alignment horizontal="right" wrapText="1"/>
    </xf>
    <xf numFmtId="0" fontId="692" fillId="0" borderId="0" xfId="0" applyFont="1" applyAlignment="1">
      <alignment horizontal="left" wrapText="1"/>
    </xf>
    <xf numFmtId="165" fontId="693" fillId="0" borderId="0" xfId="0" applyNumberFormat="1" applyFont="1" applyAlignment="1">
      <alignment horizontal="right" wrapText="1"/>
    </xf>
    <xf numFmtId="0" fontId="694" fillId="0" borderId="0" xfId="0" applyFont="1" applyAlignment="1">
      <alignment horizontal="left" wrapText="1"/>
    </xf>
    <xf numFmtId="165" fontId="695" fillId="0" borderId="0" xfId="0" applyNumberFormat="1" applyFont="1" applyAlignment="1">
      <alignment horizontal="right" wrapText="1"/>
    </xf>
    <xf numFmtId="0" fontId="696" fillId="0" borderId="0" xfId="0" applyFont="1" applyAlignment="1">
      <alignment horizontal="left" wrapText="1"/>
    </xf>
    <xf numFmtId="165" fontId="697" fillId="0" borderId="0" xfId="0" applyNumberFormat="1" applyFont="1" applyAlignment="1">
      <alignment horizontal="right" wrapText="1"/>
    </xf>
    <xf numFmtId="0" fontId="698" fillId="0" borderId="0" xfId="0" applyFont="1" applyAlignment="1">
      <alignment horizontal="left" wrapText="1"/>
    </xf>
    <xf numFmtId="165" fontId="699" fillId="0" borderId="0" xfId="0" applyNumberFormat="1" applyFont="1" applyAlignment="1">
      <alignment horizontal="right" wrapText="1"/>
    </xf>
    <xf numFmtId="0" fontId="700" fillId="0" borderId="0" xfId="0" applyFont="1" applyAlignment="1">
      <alignment horizontal="left" wrapText="1"/>
    </xf>
    <xf numFmtId="165" fontId="701" fillId="0" borderId="0" xfId="0" applyNumberFormat="1" applyFont="1" applyAlignment="1">
      <alignment horizontal="right" wrapText="1"/>
    </xf>
    <xf numFmtId="0" fontId="702" fillId="0" borderId="0" xfId="0" applyFont="1" applyAlignment="1">
      <alignment horizontal="left" wrapText="1"/>
    </xf>
    <xf numFmtId="165" fontId="703" fillId="0" borderId="0" xfId="0" applyNumberFormat="1" applyFont="1" applyAlignment="1">
      <alignment horizontal="right" wrapText="1"/>
    </xf>
    <xf numFmtId="0" fontId="704" fillId="0" borderId="0" xfId="0" applyFont="1" applyAlignment="1">
      <alignment horizontal="left" wrapText="1"/>
    </xf>
    <xf numFmtId="165" fontId="705" fillId="0" borderId="0" xfId="0" applyNumberFormat="1" applyFont="1" applyAlignment="1">
      <alignment horizontal="right" wrapText="1"/>
    </xf>
    <xf numFmtId="0" fontId="706" fillId="0" borderId="0" xfId="0" applyFont="1" applyAlignment="1">
      <alignment horizontal="left" wrapText="1"/>
    </xf>
    <xf numFmtId="165" fontId="707" fillId="0" borderId="0" xfId="0" applyNumberFormat="1" applyFont="1" applyAlignment="1">
      <alignment horizontal="right" wrapText="1"/>
    </xf>
    <xf numFmtId="0" fontId="708" fillId="0" borderId="0" xfId="0" applyFont="1" applyAlignment="1">
      <alignment horizontal="left" wrapText="1"/>
    </xf>
    <xf numFmtId="165" fontId="709" fillId="0" borderId="0" xfId="0" applyNumberFormat="1" applyFont="1" applyAlignment="1">
      <alignment horizontal="right" wrapText="1"/>
    </xf>
    <xf numFmtId="0" fontId="710" fillId="0" borderId="0" xfId="0" applyFont="1" applyAlignment="1">
      <alignment horizontal="left" wrapText="1"/>
    </xf>
    <xf numFmtId="165" fontId="711" fillId="0" borderId="0" xfId="0" applyNumberFormat="1" applyFont="1" applyAlignment="1">
      <alignment horizontal="right" wrapText="1"/>
    </xf>
    <xf numFmtId="0" fontId="712" fillId="0" borderId="0" xfId="0" applyFont="1" applyAlignment="1">
      <alignment horizontal="left" wrapText="1"/>
    </xf>
    <xf numFmtId="165" fontId="713" fillId="0" borderId="0" xfId="0" applyNumberFormat="1" applyFont="1" applyAlignment="1">
      <alignment horizontal="right" wrapText="1"/>
    </xf>
    <xf numFmtId="0" fontId="714" fillId="0" borderId="0" xfId="0" applyFont="1" applyAlignment="1">
      <alignment horizontal="left" wrapText="1"/>
    </xf>
    <xf numFmtId="165" fontId="715" fillId="0" borderId="0" xfId="0" applyNumberFormat="1" applyFont="1" applyAlignment="1">
      <alignment horizontal="right" wrapText="1"/>
    </xf>
    <xf numFmtId="0" fontId="716" fillId="0" borderId="0" xfId="0" applyFont="1" applyAlignment="1">
      <alignment horizontal="left" wrapText="1"/>
    </xf>
    <xf numFmtId="165" fontId="717" fillId="0" borderId="0" xfId="0" applyNumberFormat="1" applyFont="1" applyAlignment="1">
      <alignment horizontal="right" wrapText="1"/>
    </xf>
    <xf numFmtId="0" fontId="718" fillId="0" borderId="0" xfId="0" applyFont="1" applyAlignment="1">
      <alignment horizontal="left" wrapText="1"/>
    </xf>
    <xf numFmtId="165" fontId="719" fillId="0" borderId="0" xfId="0" applyNumberFormat="1" applyFont="1" applyAlignment="1">
      <alignment horizontal="right" wrapText="1"/>
    </xf>
    <xf numFmtId="0" fontId="720" fillId="0" borderId="0" xfId="0" applyFont="1" applyAlignment="1">
      <alignment horizontal="left" wrapText="1"/>
    </xf>
    <xf numFmtId="165" fontId="721" fillId="0" borderId="0" xfId="0" applyNumberFormat="1" applyFont="1" applyAlignment="1">
      <alignment horizontal="right" wrapText="1"/>
    </xf>
    <xf numFmtId="0" fontId="722" fillId="0" borderId="0" xfId="0" applyFont="1" applyAlignment="1">
      <alignment horizontal="left" wrapText="1"/>
    </xf>
    <xf numFmtId="165" fontId="723" fillId="0" borderId="0" xfId="0" applyNumberFormat="1" applyFont="1" applyAlignment="1">
      <alignment horizontal="right" wrapText="1"/>
    </xf>
    <xf numFmtId="0" fontId="724" fillId="0" borderId="0" xfId="0" applyFont="1" applyAlignment="1">
      <alignment horizontal="left" wrapText="1"/>
    </xf>
    <xf numFmtId="165" fontId="725" fillId="0" borderId="0" xfId="0" applyNumberFormat="1" applyFont="1" applyAlignment="1">
      <alignment horizontal="right" wrapText="1"/>
    </xf>
    <xf numFmtId="0" fontId="726" fillId="0" borderId="0" xfId="0" applyFont="1" applyAlignment="1">
      <alignment horizontal="left" wrapText="1"/>
    </xf>
    <xf numFmtId="165" fontId="727" fillId="0" borderId="0" xfId="0" applyNumberFormat="1" applyFont="1" applyAlignment="1">
      <alignment horizontal="right" wrapText="1"/>
    </xf>
    <xf numFmtId="0" fontId="728" fillId="0" borderId="0" xfId="0" applyFont="1" applyAlignment="1">
      <alignment horizontal="left" wrapText="1"/>
    </xf>
    <xf numFmtId="165" fontId="729" fillId="0" borderId="0" xfId="0" applyNumberFormat="1" applyFont="1" applyAlignment="1">
      <alignment horizontal="right" wrapText="1"/>
    </xf>
    <xf numFmtId="0" fontId="730" fillId="0" borderId="0" xfId="0" applyFont="1" applyAlignment="1">
      <alignment horizontal="left" wrapText="1"/>
    </xf>
    <xf numFmtId="165" fontId="731" fillId="0" borderId="0" xfId="0" applyNumberFormat="1" applyFont="1" applyAlignment="1">
      <alignment horizontal="right" wrapText="1"/>
    </xf>
    <xf numFmtId="0" fontId="732" fillId="0" borderId="0" xfId="0" applyFont="1" applyAlignment="1">
      <alignment horizontal="left" wrapText="1"/>
    </xf>
    <xf numFmtId="165" fontId="733" fillId="0" borderId="0" xfId="0" applyNumberFormat="1" applyFont="1" applyAlignment="1">
      <alignment horizontal="right" wrapText="1"/>
    </xf>
    <xf numFmtId="0" fontId="734" fillId="0" borderId="0" xfId="0" applyFont="1" applyAlignment="1">
      <alignment horizontal="left" wrapText="1"/>
    </xf>
    <xf numFmtId="165" fontId="735" fillId="0" borderId="0" xfId="0" applyNumberFormat="1" applyFont="1" applyAlignment="1">
      <alignment horizontal="right" wrapText="1"/>
    </xf>
    <xf numFmtId="0" fontId="736" fillId="0" borderId="0" xfId="0" applyFont="1" applyAlignment="1">
      <alignment horizontal="left" wrapText="1"/>
    </xf>
    <xf numFmtId="165" fontId="737" fillId="0" borderId="0" xfId="0" applyNumberFormat="1" applyFont="1" applyAlignment="1">
      <alignment horizontal="right" wrapText="1"/>
    </xf>
    <xf numFmtId="0" fontId="738" fillId="0" borderId="0" xfId="0" applyFont="1" applyAlignment="1">
      <alignment horizontal="left" wrapText="1"/>
    </xf>
    <xf numFmtId="165" fontId="739" fillId="0" borderId="0" xfId="0" applyNumberFormat="1" applyFont="1" applyAlignment="1">
      <alignment horizontal="right" wrapText="1"/>
    </xf>
    <xf numFmtId="0" fontId="740" fillId="0" borderId="0" xfId="0" applyFont="1" applyAlignment="1">
      <alignment horizontal="left" wrapText="1"/>
    </xf>
    <xf numFmtId="165" fontId="741" fillId="0" borderId="0" xfId="0" applyNumberFormat="1" applyFont="1" applyAlignment="1">
      <alignment horizontal="right" wrapText="1"/>
    </xf>
    <xf numFmtId="0" fontId="742" fillId="0" borderId="0" xfId="0" applyFont="1" applyAlignment="1">
      <alignment horizontal="left" wrapText="1"/>
    </xf>
    <xf numFmtId="165" fontId="743" fillId="0" borderId="0" xfId="0" applyNumberFormat="1" applyFont="1" applyAlignment="1">
      <alignment horizontal="right" wrapText="1"/>
    </xf>
    <xf numFmtId="0" fontId="744" fillId="0" borderId="0" xfId="0" applyFont="1" applyAlignment="1">
      <alignment horizontal="left" wrapText="1"/>
    </xf>
    <xf numFmtId="165" fontId="745" fillId="0" borderId="0" xfId="0" applyNumberFormat="1" applyFont="1" applyAlignment="1">
      <alignment horizontal="right" wrapText="1"/>
    </xf>
    <xf numFmtId="0" fontId="746" fillId="0" borderId="0" xfId="0" applyFont="1" applyAlignment="1">
      <alignment horizontal="left" wrapText="1"/>
    </xf>
    <xf numFmtId="165" fontId="747" fillId="0" borderId="0" xfId="0" applyNumberFormat="1" applyFont="1" applyAlignment="1">
      <alignment horizontal="right" wrapText="1"/>
    </xf>
    <xf numFmtId="0" fontId="748" fillId="0" borderId="0" xfId="0" applyFont="1" applyAlignment="1">
      <alignment horizontal="left" wrapText="1"/>
    </xf>
    <xf numFmtId="165" fontId="749" fillId="0" borderId="0" xfId="0" applyNumberFormat="1" applyFont="1" applyAlignment="1">
      <alignment horizontal="right" wrapText="1"/>
    </xf>
    <xf numFmtId="0" fontId="750" fillId="0" borderId="0" xfId="0" applyFont="1" applyAlignment="1">
      <alignment horizontal="left" wrapText="1"/>
    </xf>
    <xf numFmtId="165" fontId="751" fillId="0" borderId="0" xfId="0" applyNumberFormat="1" applyFont="1" applyAlignment="1">
      <alignment horizontal="right" wrapText="1"/>
    </xf>
    <xf numFmtId="0" fontId="752" fillId="0" borderId="0" xfId="0" applyFont="1" applyAlignment="1">
      <alignment horizontal="left" wrapText="1"/>
    </xf>
    <xf numFmtId="165" fontId="753" fillId="0" borderId="0" xfId="0" applyNumberFormat="1" applyFont="1" applyAlignment="1">
      <alignment horizontal="right" wrapText="1"/>
    </xf>
    <xf numFmtId="0" fontId="754" fillId="0" borderId="0" xfId="0" applyFont="1" applyAlignment="1">
      <alignment horizontal="left" wrapText="1"/>
    </xf>
    <xf numFmtId="165" fontId="755" fillId="0" borderId="0" xfId="0" applyNumberFormat="1" applyFont="1" applyAlignment="1">
      <alignment horizontal="right" wrapText="1"/>
    </xf>
    <xf numFmtId="0" fontId="756" fillId="0" borderId="0" xfId="0" applyFont="1" applyAlignment="1">
      <alignment horizontal="left" wrapText="1"/>
    </xf>
    <xf numFmtId="165" fontId="757" fillId="0" borderId="0" xfId="0" applyNumberFormat="1" applyFont="1" applyAlignment="1">
      <alignment horizontal="right" wrapText="1"/>
    </xf>
    <xf numFmtId="0" fontId="758" fillId="0" borderId="0" xfId="0" applyFont="1" applyAlignment="1">
      <alignment horizontal="left" wrapText="1"/>
    </xf>
    <xf numFmtId="165" fontId="759" fillId="0" borderId="0" xfId="0" applyNumberFormat="1" applyFont="1" applyAlignment="1">
      <alignment horizontal="right" wrapText="1"/>
    </xf>
    <xf numFmtId="0" fontId="760" fillId="0" borderId="0" xfId="0" applyFont="1" applyAlignment="1">
      <alignment horizontal="left" wrapText="1"/>
    </xf>
    <xf numFmtId="165" fontId="761" fillId="0" borderId="0" xfId="0" applyNumberFormat="1" applyFont="1" applyAlignment="1">
      <alignment horizontal="right" wrapText="1"/>
    </xf>
    <xf numFmtId="0" fontId="762" fillId="0" borderId="0" xfId="0" applyFont="1" applyAlignment="1">
      <alignment horizontal="left" wrapText="1"/>
    </xf>
    <xf numFmtId="165" fontId="763" fillId="0" borderId="0" xfId="0" applyNumberFormat="1" applyFont="1" applyAlignment="1">
      <alignment horizontal="right" wrapText="1"/>
    </xf>
    <xf numFmtId="0" fontId="764" fillId="0" borderId="0" xfId="0" applyFont="1" applyAlignment="1">
      <alignment horizontal="left" wrapText="1"/>
    </xf>
    <xf numFmtId="165" fontId="765" fillId="0" borderId="0" xfId="0" applyNumberFormat="1" applyFont="1" applyAlignment="1">
      <alignment horizontal="right" wrapText="1"/>
    </xf>
    <xf numFmtId="0" fontId="766" fillId="0" borderId="0" xfId="0" applyFont="1" applyAlignment="1">
      <alignment horizontal="left" wrapText="1"/>
    </xf>
    <xf numFmtId="165" fontId="767" fillId="0" borderId="0" xfId="0" applyNumberFormat="1" applyFont="1" applyAlignment="1">
      <alignment horizontal="right" wrapText="1"/>
    </xf>
    <xf numFmtId="0" fontId="768" fillId="0" borderId="0" xfId="0" applyFont="1" applyAlignment="1">
      <alignment horizontal="left" wrapText="1"/>
    </xf>
    <xf numFmtId="165" fontId="769" fillId="0" borderId="0" xfId="0" applyNumberFormat="1" applyFont="1" applyAlignment="1">
      <alignment horizontal="right" wrapText="1"/>
    </xf>
    <xf numFmtId="0" fontId="770" fillId="0" borderId="0" xfId="0" applyFont="1" applyAlignment="1">
      <alignment horizontal="left" wrapText="1"/>
    </xf>
    <xf numFmtId="165" fontId="771" fillId="0" borderId="0" xfId="0" applyNumberFormat="1" applyFont="1" applyAlignment="1">
      <alignment horizontal="right" wrapText="1"/>
    </xf>
    <xf numFmtId="0" fontId="772" fillId="0" borderId="0" xfId="0" applyFont="1" applyAlignment="1">
      <alignment horizontal="left" wrapText="1"/>
    </xf>
    <xf numFmtId="165" fontId="773" fillId="0" borderId="0" xfId="0" applyNumberFormat="1" applyFont="1" applyAlignment="1">
      <alignment horizontal="right" wrapText="1"/>
    </xf>
    <xf numFmtId="0" fontId="774" fillId="0" borderId="0" xfId="0" applyFont="1" applyAlignment="1">
      <alignment horizontal="left" wrapText="1"/>
    </xf>
    <xf numFmtId="165" fontId="775" fillId="0" borderId="0" xfId="0" applyNumberFormat="1" applyFont="1" applyAlignment="1">
      <alignment horizontal="right" wrapText="1"/>
    </xf>
    <xf numFmtId="0" fontId="776" fillId="0" borderId="0" xfId="0" applyFont="1" applyAlignment="1">
      <alignment horizontal="left" wrapText="1"/>
    </xf>
    <xf numFmtId="165" fontId="777" fillId="0" borderId="0" xfId="0" applyNumberFormat="1" applyFont="1" applyAlignment="1">
      <alignment horizontal="right" wrapText="1"/>
    </xf>
    <xf numFmtId="0" fontId="778" fillId="0" borderId="0" xfId="0" applyFont="1" applyAlignment="1">
      <alignment horizontal="left" wrapText="1"/>
    </xf>
    <xf numFmtId="165" fontId="779" fillId="0" borderId="0" xfId="0" applyNumberFormat="1" applyFont="1" applyAlignment="1">
      <alignment horizontal="right" wrapText="1"/>
    </xf>
    <xf numFmtId="0" fontId="780" fillId="0" borderId="0" xfId="0" applyFont="1" applyAlignment="1">
      <alignment horizontal="left" wrapText="1"/>
    </xf>
    <xf numFmtId="165" fontId="781" fillId="0" borderId="0" xfId="0" applyNumberFormat="1" applyFont="1" applyAlignment="1">
      <alignment horizontal="right" wrapText="1"/>
    </xf>
    <xf numFmtId="0" fontId="782" fillId="0" borderId="0" xfId="0" applyFont="1" applyAlignment="1">
      <alignment horizontal="left" wrapText="1"/>
    </xf>
    <xf numFmtId="165" fontId="783" fillId="0" borderId="0" xfId="0" applyNumberFormat="1" applyFont="1" applyAlignment="1">
      <alignment horizontal="right" wrapText="1"/>
    </xf>
    <xf numFmtId="0" fontId="784" fillId="0" borderId="0" xfId="0" applyFont="1" applyAlignment="1">
      <alignment horizontal="left" wrapText="1"/>
    </xf>
    <xf numFmtId="165" fontId="785" fillId="0" borderId="0" xfId="0" applyNumberFormat="1" applyFont="1" applyAlignment="1">
      <alignment horizontal="right" wrapText="1"/>
    </xf>
    <xf numFmtId="0" fontId="786" fillId="0" borderId="0" xfId="0" applyFont="1" applyAlignment="1">
      <alignment horizontal="left" wrapText="1"/>
    </xf>
    <xf numFmtId="165" fontId="787" fillId="0" borderId="0" xfId="0" applyNumberFormat="1" applyFont="1" applyAlignment="1">
      <alignment horizontal="right" wrapText="1"/>
    </xf>
    <xf numFmtId="0" fontId="788" fillId="0" borderId="0" xfId="0" applyFont="1" applyAlignment="1">
      <alignment horizontal="left" wrapText="1"/>
    </xf>
    <xf numFmtId="165" fontId="789" fillId="0" borderId="0" xfId="0" applyNumberFormat="1" applyFont="1" applyAlignment="1">
      <alignment horizontal="right" wrapText="1"/>
    </xf>
    <xf numFmtId="0" fontId="790" fillId="0" borderId="0" xfId="0" applyFont="1" applyAlignment="1">
      <alignment horizontal="left" wrapText="1"/>
    </xf>
    <xf numFmtId="165" fontId="791" fillId="0" borderId="0" xfId="0" applyNumberFormat="1" applyFont="1" applyAlignment="1">
      <alignment horizontal="right" wrapText="1"/>
    </xf>
    <xf numFmtId="0" fontId="792" fillId="0" borderId="0" xfId="0" applyFont="1" applyAlignment="1">
      <alignment horizontal="left" wrapText="1"/>
    </xf>
    <xf numFmtId="165" fontId="793" fillId="0" borderId="0" xfId="0" applyNumberFormat="1" applyFont="1" applyAlignment="1">
      <alignment horizontal="right" wrapText="1"/>
    </xf>
    <xf numFmtId="0" fontId="794" fillId="0" borderId="0" xfId="0" applyFont="1" applyAlignment="1">
      <alignment horizontal="left" wrapText="1"/>
    </xf>
    <xf numFmtId="165" fontId="795" fillId="0" borderId="0" xfId="0" applyNumberFormat="1" applyFont="1" applyAlignment="1">
      <alignment horizontal="right" wrapText="1"/>
    </xf>
    <xf numFmtId="0" fontId="796" fillId="0" borderId="0" xfId="0" applyFont="1" applyAlignment="1">
      <alignment horizontal="left" wrapText="1"/>
    </xf>
    <xf numFmtId="165" fontId="797" fillId="0" borderId="0" xfId="0" applyNumberFormat="1" applyFont="1" applyAlignment="1">
      <alignment horizontal="right" wrapText="1"/>
    </xf>
    <xf numFmtId="0" fontId="798" fillId="0" borderId="0" xfId="0" applyFont="1" applyAlignment="1">
      <alignment horizontal="left" wrapText="1"/>
    </xf>
    <xf numFmtId="165" fontId="799" fillId="0" borderId="0" xfId="0" applyNumberFormat="1" applyFont="1" applyAlignment="1">
      <alignment horizontal="right" wrapText="1"/>
    </xf>
    <xf numFmtId="0" fontId="800" fillId="0" borderId="0" xfId="0" applyFont="1" applyAlignment="1">
      <alignment horizontal="left" wrapText="1"/>
    </xf>
    <xf numFmtId="165" fontId="801" fillId="0" borderId="0" xfId="0" applyNumberFormat="1" applyFont="1" applyAlignment="1">
      <alignment horizontal="right" wrapText="1"/>
    </xf>
    <xf numFmtId="0" fontId="802" fillId="0" borderId="0" xfId="0" applyFont="1" applyAlignment="1">
      <alignment horizontal="left" wrapText="1"/>
    </xf>
    <xf numFmtId="165" fontId="803" fillId="0" borderId="0" xfId="0" applyNumberFormat="1" applyFont="1" applyAlignment="1">
      <alignment horizontal="right" wrapText="1"/>
    </xf>
    <xf numFmtId="0" fontId="804" fillId="0" borderId="0" xfId="0" applyFont="1" applyAlignment="1">
      <alignment horizontal="left" wrapText="1"/>
    </xf>
    <xf numFmtId="165" fontId="805" fillId="0" borderId="0" xfId="0" applyNumberFormat="1" applyFont="1" applyAlignment="1">
      <alignment horizontal="right" wrapText="1"/>
    </xf>
    <xf numFmtId="0" fontId="806" fillId="0" borderId="0" xfId="0" applyFont="1" applyAlignment="1">
      <alignment horizontal="left" wrapText="1"/>
    </xf>
    <xf numFmtId="165" fontId="807" fillId="0" borderId="0" xfId="0" applyNumberFormat="1" applyFont="1" applyAlignment="1">
      <alignment horizontal="right" wrapText="1"/>
    </xf>
    <xf numFmtId="0" fontId="808" fillId="0" borderId="0" xfId="0" applyFont="1" applyAlignment="1">
      <alignment horizontal="left" wrapText="1"/>
    </xf>
    <xf numFmtId="165" fontId="809" fillId="0" borderId="0" xfId="0" applyNumberFormat="1" applyFont="1" applyAlignment="1">
      <alignment horizontal="right" wrapText="1"/>
    </xf>
    <xf numFmtId="0" fontId="810" fillId="0" borderId="0" xfId="0" applyFont="1" applyAlignment="1">
      <alignment horizontal="left" wrapText="1"/>
    </xf>
    <xf numFmtId="165" fontId="811" fillId="0" borderId="0" xfId="0" applyNumberFormat="1" applyFont="1" applyAlignment="1">
      <alignment horizontal="right" wrapText="1"/>
    </xf>
    <xf numFmtId="0" fontId="812" fillId="0" borderId="0" xfId="0" applyFont="1" applyAlignment="1">
      <alignment horizontal="left" wrapText="1"/>
    </xf>
    <xf numFmtId="165" fontId="813" fillId="0" borderId="0" xfId="0" applyNumberFormat="1" applyFont="1" applyAlignment="1">
      <alignment horizontal="right" wrapText="1"/>
    </xf>
    <xf numFmtId="0" fontId="814" fillId="0" borderId="0" xfId="0" applyFont="1" applyAlignment="1">
      <alignment horizontal="left" wrapText="1"/>
    </xf>
    <xf numFmtId="165" fontId="815" fillId="0" borderId="0" xfId="0" applyNumberFormat="1" applyFont="1" applyAlignment="1">
      <alignment horizontal="right" wrapText="1"/>
    </xf>
    <xf numFmtId="0" fontId="816" fillId="0" borderId="0" xfId="0" applyFont="1" applyAlignment="1">
      <alignment horizontal="left" wrapText="1"/>
    </xf>
    <xf numFmtId="165" fontId="817" fillId="0" borderId="0" xfId="0" applyNumberFormat="1" applyFont="1" applyAlignment="1">
      <alignment horizontal="right" wrapText="1"/>
    </xf>
    <xf numFmtId="0" fontId="818" fillId="0" borderId="0" xfId="0" applyFont="1" applyAlignment="1">
      <alignment horizontal="left" wrapText="1"/>
    </xf>
    <xf numFmtId="165" fontId="819" fillId="0" borderId="0" xfId="0" applyNumberFormat="1" applyFont="1" applyAlignment="1">
      <alignment horizontal="right" wrapText="1"/>
    </xf>
    <xf numFmtId="0" fontId="820" fillId="0" borderId="0" xfId="0" applyFont="1" applyAlignment="1">
      <alignment horizontal="left" wrapText="1"/>
    </xf>
    <xf numFmtId="165" fontId="821" fillId="0" borderId="0" xfId="0" applyNumberFormat="1" applyFont="1" applyAlignment="1">
      <alignment horizontal="right" wrapText="1"/>
    </xf>
    <xf numFmtId="0" fontId="822" fillId="0" borderId="0" xfId="0" applyFont="1" applyAlignment="1">
      <alignment horizontal="left" wrapText="1"/>
    </xf>
    <xf numFmtId="165" fontId="823" fillId="0" borderId="0" xfId="0" applyNumberFormat="1" applyFont="1" applyAlignment="1">
      <alignment horizontal="right" wrapText="1"/>
    </xf>
    <xf numFmtId="0" fontId="824" fillId="0" borderId="0" xfId="0" applyFont="1" applyAlignment="1">
      <alignment horizontal="left" wrapText="1"/>
    </xf>
    <xf numFmtId="165" fontId="825" fillId="0" borderId="0" xfId="0" applyNumberFormat="1" applyFont="1" applyAlignment="1">
      <alignment horizontal="right" wrapText="1"/>
    </xf>
    <xf numFmtId="0" fontId="826" fillId="0" borderId="0" xfId="0" applyFont="1" applyAlignment="1">
      <alignment horizontal="left" wrapText="1"/>
    </xf>
    <xf numFmtId="165" fontId="827" fillId="0" borderId="0" xfId="0" applyNumberFormat="1" applyFont="1" applyAlignment="1">
      <alignment horizontal="right" wrapText="1"/>
    </xf>
    <xf numFmtId="0" fontId="828" fillId="0" borderId="0" xfId="0" applyFont="1" applyAlignment="1">
      <alignment horizontal="left" wrapText="1"/>
    </xf>
    <xf numFmtId="165" fontId="829" fillId="0" borderId="0" xfId="0" applyNumberFormat="1" applyFont="1" applyAlignment="1">
      <alignment horizontal="right" wrapText="1"/>
    </xf>
    <xf numFmtId="0" fontId="830" fillId="0" borderId="0" xfId="0" applyFont="1" applyAlignment="1">
      <alignment horizontal="left" wrapText="1"/>
    </xf>
    <xf numFmtId="165" fontId="831" fillId="0" borderId="0" xfId="0" applyNumberFormat="1" applyFont="1" applyAlignment="1">
      <alignment horizontal="right" wrapText="1"/>
    </xf>
    <xf numFmtId="0" fontId="832" fillId="0" borderId="0" xfId="0" applyFont="1" applyAlignment="1">
      <alignment horizontal="left" wrapText="1"/>
    </xf>
    <xf numFmtId="165" fontId="833" fillId="0" borderId="0" xfId="0" applyNumberFormat="1" applyFont="1" applyAlignment="1">
      <alignment horizontal="right" wrapText="1"/>
    </xf>
    <xf numFmtId="0" fontId="834" fillId="0" borderId="0" xfId="0" applyFont="1" applyAlignment="1">
      <alignment horizontal="left" wrapText="1"/>
    </xf>
    <xf numFmtId="165" fontId="835" fillId="0" borderId="0" xfId="0" applyNumberFormat="1" applyFont="1" applyAlignment="1">
      <alignment horizontal="right" wrapText="1"/>
    </xf>
    <xf numFmtId="0" fontId="836" fillId="0" borderId="0" xfId="0" applyFont="1" applyAlignment="1">
      <alignment horizontal="left" wrapText="1"/>
    </xf>
    <xf numFmtId="165" fontId="837" fillId="0" borderId="0" xfId="0" applyNumberFormat="1" applyFont="1" applyAlignment="1">
      <alignment horizontal="right" wrapText="1"/>
    </xf>
    <xf numFmtId="0" fontId="838" fillId="0" borderId="0" xfId="0" applyFont="1" applyAlignment="1">
      <alignment horizontal="left" wrapText="1"/>
    </xf>
    <xf numFmtId="165" fontId="839" fillId="0" borderId="0" xfId="0" applyNumberFormat="1" applyFont="1" applyAlignment="1">
      <alignment horizontal="right" wrapText="1"/>
    </xf>
    <xf numFmtId="0" fontId="840" fillId="0" borderId="0" xfId="0" applyFont="1" applyAlignment="1">
      <alignment horizontal="left" wrapText="1"/>
    </xf>
    <xf numFmtId="165" fontId="841" fillId="0" borderId="0" xfId="0" applyNumberFormat="1" applyFont="1" applyAlignment="1">
      <alignment horizontal="right" wrapText="1"/>
    </xf>
    <xf numFmtId="0" fontId="842" fillId="0" borderId="0" xfId="0" applyFont="1" applyAlignment="1">
      <alignment horizontal="left" wrapText="1"/>
    </xf>
    <xf numFmtId="165" fontId="843" fillId="0" borderId="0" xfId="0" applyNumberFormat="1" applyFont="1" applyAlignment="1">
      <alignment horizontal="right" wrapText="1"/>
    </xf>
    <xf numFmtId="0" fontId="844" fillId="0" borderId="0" xfId="0" applyFont="1" applyAlignment="1">
      <alignment horizontal="left" wrapText="1"/>
    </xf>
    <xf numFmtId="165" fontId="845" fillId="0" borderId="0" xfId="0" applyNumberFormat="1" applyFont="1" applyAlignment="1">
      <alignment horizontal="right" wrapText="1"/>
    </xf>
    <xf numFmtId="0" fontId="846" fillId="0" borderId="0" xfId="0" applyFont="1" applyAlignment="1">
      <alignment horizontal="left" wrapText="1"/>
    </xf>
    <xf numFmtId="165" fontId="847" fillId="0" borderId="0" xfId="0" applyNumberFormat="1" applyFont="1" applyAlignment="1">
      <alignment horizontal="right" wrapText="1"/>
    </xf>
    <xf numFmtId="0" fontId="848" fillId="0" borderId="0" xfId="0" applyFont="1" applyAlignment="1">
      <alignment horizontal="left" wrapText="1"/>
    </xf>
    <xf numFmtId="165" fontId="849" fillId="0" borderId="0" xfId="0" applyNumberFormat="1" applyFont="1" applyAlignment="1">
      <alignment horizontal="right" wrapText="1"/>
    </xf>
    <xf numFmtId="0" fontId="850" fillId="0" borderId="0" xfId="0" applyFont="1" applyAlignment="1">
      <alignment horizontal="left" wrapText="1"/>
    </xf>
    <xf numFmtId="165" fontId="851" fillId="0" borderId="0" xfId="0" applyNumberFormat="1" applyFont="1" applyAlignment="1">
      <alignment horizontal="right" wrapText="1"/>
    </xf>
    <xf numFmtId="0" fontId="852" fillId="0" borderId="0" xfId="0" applyFont="1" applyAlignment="1">
      <alignment horizontal="left" wrapText="1"/>
    </xf>
    <xf numFmtId="165" fontId="853" fillId="0" borderId="0" xfId="0" applyNumberFormat="1" applyFont="1" applyAlignment="1">
      <alignment horizontal="right" wrapText="1"/>
    </xf>
    <xf numFmtId="0" fontId="854" fillId="0" borderId="0" xfId="0" applyFont="1" applyAlignment="1">
      <alignment horizontal="left" wrapText="1"/>
    </xf>
    <xf numFmtId="165" fontId="855" fillId="0" borderId="0" xfId="0" applyNumberFormat="1" applyFont="1" applyAlignment="1">
      <alignment horizontal="right" wrapText="1"/>
    </xf>
    <xf numFmtId="0" fontId="856" fillId="0" borderId="0" xfId="0" applyFont="1" applyAlignment="1">
      <alignment horizontal="left" wrapText="1"/>
    </xf>
    <xf numFmtId="165" fontId="857" fillId="0" borderId="0" xfId="0" applyNumberFormat="1" applyFont="1" applyAlignment="1">
      <alignment horizontal="right" wrapText="1"/>
    </xf>
    <xf numFmtId="0" fontId="858" fillId="0" borderId="0" xfId="0" applyFont="1" applyAlignment="1">
      <alignment horizontal="left" wrapText="1"/>
    </xf>
    <xf numFmtId="165" fontId="859" fillId="0" borderId="0" xfId="0" applyNumberFormat="1" applyFont="1" applyAlignment="1">
      <alignment horizontal="right" wrapText="1"/>
    </xf>
    <xf numFmtId="0" fontId="860" fillId="0" borderId="0" xfId="0" applyFont="1" applyAlignment="1">
      <alignment horizontal="left" wrapText="1"/>
    </xf>
    <xf numFmtId="165" fontId="861" fillId="0" borderId="0" xfId="0" applyNumberFormat="1" applyFont="1" applyAlignment="1">
      <alignment horizontal="right" wrapText="1"/>
    </xf>
    <xf numFmtId="0" fontId="862" fillId="0" borderId="0" xfId="0" applyFont="1" applyAlignment="1">
      <alignment horizontal="left" wrapText="1"/>
    </xf>
    <xf numFmtId="165" fontId="863" fillId="0" borderId="0" xfId="0" applyNumberFormat="1" applyFont="1" applyAlignment="1">
      <alignment horizontal="right" wrapText="1"/>
    </xf>
    <xf numFmtId="0" fontId="864" fillId="0" borderId="0" xfId="0" applyFont="1" applyAlignment="1">
      <alignment horizontal="left" wrapText="1"/>
    </xf>
    <xf numFmtId="165" fontId="865" fillId="0" borderId="0" xfId="0" applyNumberFormat="1" applyFont="1" applyAlignment="1">
      <alignment horizontal="right" wrapText="1"/>
    </xf>
    <xf numFmtId="0" fontId="866" fillId="0" borderId="0" xfId="0" applyFont="1" applyAlignment="1">
      <alignment horizontal="left" wrapText="1"/>
    </xf>
    <xf numFmtId="165" fontId="867" fillId="0" borderId="0" xfId="0" applyNumberFormat="1" applyFont="1" applyAlignment="1">
      <alignment horizontal="right" wrapText="1"/>
    </xf>
    <xf numFmtId="0" fontId="868" fillId="0" borderId="0" xfId="0" applyFont="1" applyAlignment="1">
      <alignment horizontal="left" wrapText="1"/>
    </xf>
    <xf numFmtId="165" fontId="869" fillId="0" borderId="0" xfId="0" applyNumberFormat="1" applyFont="1" applyAlignment="1">
      <alignment horizontal="right" wrapText="1"/>
    </xf>
    <xf numFmtId="0" fontId="870" fillId="0" borderId="0" xfId="0" applyFont="1" applyAlignment="1">
      <alignment horizontal="left" wrapText="1"/>
    </xf>
    <xf numFmtId="165" fontId="871" fillId="0" borderId="0" xfId="0" applyNumberFormat="1" applyFont="1" applyAlignment="1">
      <alignment horizontal="right" wrapText="1"/>
    </xf>
    <xf numFmtId="0" fontId="872" fillId="0" borderId="0" xfId="0" applyFont="1" applyAlignment="1">
      <alignment horizontal="left" wrapText="1"/>
    </xf>
    <xf numFmtId="165" fontId="873" fillId="0" borderId="0" xfId="0" applyNumberFormat="1" applyFont="1" applyAlignment="1">
      <alignment horizontal="right" wrapText="1"/>
    </xf>
    <xf numFmtId="0" fontId="874" fillId="0" borderId="0" xfId="0" applyFont="1" applyAlignment="1">
      <alignment horizontal="left" wrapText="1"/>
    </xf>
    <xf numFmtId="165" fontId="875" fillId="0" borderId="0" xfId="0" applyNumberFormat="1" applyFont="1" applyAlignment="1">
      <alignment horizontal="right" wrapText="1"/>
    </xf>
    <xf numFmtId="0" fontId="876" fillId="0" borderId="0" xfId="0" applyFont="1" applyAlignment="1">
      <alignment horizontal="left" wrapText="1"/>
    </xf>
    <xf numFmtId="165" fontId="877" fillId="0" borderId="0" xfId="0" applyNumberFormat="1" applyFont="1" applyAlignment="1">
      <alignment horizontal="right" wrapText="1"/>
    </xf>
    <xf numFmtId="0" fontId="878" fillId="0" borderId="0" xfId="0" applyFont="1" applyAlignment="1">
      <alignment horizontal="left" wrapText="1"/>
    </xf>
    <xf numFmtId="165" fontId="879" fillId="0" borderId="0" xfId="0" applyNumberFormat="1" applyFont="1" applyAlignment="1">
      <alignment horizontal="right" wrapText="1"/>
    </xf>
    <xf numFmtId="0" fontId="880" fillId="0" borderId="0" xfId="0" applyFont="1" applyAlignment="1">
      <alignment horizontal="left" wrapText="1"/>
    </xf>
    <xf numFmtId="165" fontId="881" fillId="0" borderId="0" xfId="0" applyNumberFormat="1" applyFont="1" applyAlignment="1">
      <alignment horizontal="right" wrapText="1"/>
    </xf>
    <xf numFmtId="0" fontId="882" fillId="0" borderId="0" xfId="0" applyFont="1" applyAlignment="1">
      <alignment horizontal="left" wrapText="1"/>
    </xf>
    <xf numFmtId="165" fontId="883" fillId="0" borderId="0" xfId="0" applyNumberFormat="1" applyFont="1" applyAlignment="1">
      <alignment horizontal="right" wrapText="1"/>
    </xf>
    <xf numFmtId="0" fontId="884" fillId="0" borderId="0" xfId="0" applyFont="1" applyAlignment="1">
      <alignment horizontal="left" wrapText="1"/>
    </xf>
    <xf numFmtId="165" fontId="885" fillId="0" borderId="0" xfId="0" applyNumberFormat="1" applyFont="1" applyAlignment="1">
      <alignment horizontal="right" wrapText="1"/>
    </xf>
    <xf numFmtId="0" fontId="886" fillId="0" borderId="0" xfId="0" applyFont="1" applyAlignment="1">
      <alignment horizontal="left" wrapText="1"/>
    </xf>
    <xf numFmtId="165" fontId="887" fillId="0" borderId="0" xfId="0" applyNumberFormat="1" applyFont="1" applyAlignment="1">
      <alignment horizontal="right" wrapText="1"/>
    </xf>
    <xf numFmtId="0" fontId="888" fillId="0" borderId="0" xfId="0" applyFont="1" applyAlignment="1">
      <alignment horizontal="left" wrapText="1"/>
    </xf>
    <xf numFmtId="165" fontId="889" fillId="0" borderId="0" xfId="0" applyNumberFormat="1" applyFont="1" applyAlignment="1">
      <alignment horizontal="right" wrapText="1"/>
    </xf>
    <xf numFmtId="0" fontId="890" fillId="0" borderId="0" xfId="0" applyFont="1" applyAlignment="1">
      <alignment horizontal="left" wrapText="1"/>
    </xf>
    <xf numFmtId="165" fontId="891" fillId="0" borderId="0" xfId="0" applyNumberFormat="1" applyFont="1" applyAlignment="1">
      <alignment horizontal="right" wrapText="1"/>
    </xf>
    <xf numFmtId="0" fontId="892" fillId="0" borderId="0" xfId="0" applyFont="1" applyAlignment="1">
      <alignment horizontal="left" wrapText="1"/>
    </xf>
    <xf numFmtId="165" fontId="893" fillId="0" borderId="0" xfId="0" applyNumberFormat="1" applyFont="1" applyAlignment="1">
      <alignment horizontal="right" wrapText="1"/>
    </xf>
    <xf numFmtId="0" fontId="894" fillId="0" borderId="0" xfId="0" applyFont="1" applyAlignment="1">
      <alignment horizontal="left" wrapText="1"/>
    </xf>
    <xf numFmtId="165" fontId="895" fillId="0" borderId="0" xfId="0" applyNumberFormat="1" applyFont="1" applyAlignment="1">
      <alignment horizontal="right" wrapText="1"/>
    </xf>
    <xf numFmtId="0" fontId="896" fillId="0" borderId="0" xfId="0" applyFont="1" applyAlignment="1">
      <alignment horizontal="left" wrapText="1"/>
    </xf>
    <xf numFmtId="165" fontId="897" fillId="0" borderId="0" xfId="0" applyNumberFormat="1" applyFont="1" applyAlignment="1">
      <alignment horizontal="right" wrapText="1"/>
    </xf>
    <xf numFmtId="0" fontId="898" fillId="0" borderId="0" xfId="0" applyFont="1" applyAlignment="1">
      <alignment horizontal="left" wrapText="1"/>
    </xf>
    <xf numFmtId="165" fontId="899" fillId="0" borderId="0" xfId="0" applyNumberFormat="1" applyFont="1" applyAlignment="1">
      <alignment horizontal="right" wrapText="1"/>
    </xf>
    <xf numFmtId="0" fontId="900" fillId="0" borderId="0" xfId="0" applyFont="1" applyAlignment="1">
      <alignment horizontal="left" wrapText="1"/>
    </xf>
    <xf numFmtId="165" fontId="901" fillId="0" borderId="0" xfId="0" applyNumberFormat="1" applyFont="1" applyAlignment="1">
      <alignment horizontal="right" wrapText="1"/>
    </xf>
    <xf numFmtId="0" fontId="902" fillId="0" borderId="0" xfId="0" applyFont="1" applyAlignment="1">
      <alignment horizontal="left" wrapText="1"/>
    </xf>
    <xf numFmtId="165" fontId="903" fillId="0" borderId="0" xfId="0" applyNumberFormat="1" applyFont="1" applyAlignment="1">
      <alignment horizontal="right" wrapText="1"/>
    </xf>
    <xf numFmtId="0" fontId="904" fillId="0" borderId="0" xfId="0" applyFont="1" applyAlignment="1">
      <alignment horizontal="left" wrapText="1"/>
    </xf>
    <xf numFmtId="165" fontId="905" fillId="0" borderId="0" xfId="0" applyNumberFormat="1" applyFont="1" applyAlignment="1">
      <alignment horizontal="right" wrapText="1"/>
    </xf>
    <xf numFmtId="0" fontId="906" fillId="0" borderId="0" xfId="0" applyFont="1" applyAlignment="1">
      <alignment horizontal="left" wrapText="1"/>
    </xf>
    <xf numFmtId="165" fontId="907" fillId="0" borderId="0" xfId="0" applyNumberFormat="1" applyFont="1" applyAlignment="1">
      <alignment horizontal="right" wrapText="1"/>
    </xf>
    <xf numFmtId="0" fontId="908" fillId="0" borderId="0" xfId="0" applyFont="1" applyAlignment="1">
      <alignment horizontal="left" wrapText="1"/>
    </xf>
    <xf numFmtId="165" fontId="909" fillId="0" borderId="0" xfId="0" applyNumberFormat="1" applyFont="1" applyAlignment="1">
      <alignment horizontal="right" wrapText="1"/>
    </xf>
    <xf numFmtId="0" fontId="910" fillId="0" borderId="0" xfId="0" applyFont="1" applyAlignment="1">
      <alignment horizontal="left" wrapText="1"/>
    </xf>
    <xf numFmtId="165" fontId="911" fillId="0" borderId="0" xfId="0" applyNumberFormat="1" applyFont="1" applyAlignment="1">
      <alignment horizontal="right" wrapText="1"/>
    </xf>
    <xf numFmtId="0" fontId="912" fillId="0" borderId="0" xfId="0" applyFont="1" applyAlignment="1">
      <alignment horizontal="left" wrapText="1"/>
    </xf>
    <xf numFmtId="165" fontId="913" fillId="0" borderId="0" xfId="0" applyNumberFormat="1" applyFont="1" applyAlignment="1">
      <alignment horizontal="right" wrapText="1"/>
    </xf>
    <xf numFmtId="0" fontId="914" fillId="0" borderId="0" xfId="0" applyFont="1" applyAlignment="1">
      <alignment horizontal="left" wrapText="1"/>
    </xf>
    <xf numFmtId="165" fontId="915" fillId="0" borderId="0" xfId="0" applyNumberFormat="1" applyFont="1" applyAlignment="1">
      <alignment horizontal="right" wrapText="1"/>
    </xf>
    <xf numFmtId="0" fontId="916" fillId="0" borderId="0" xfId="0" applyFont="1" applyAlignment="1">
      <alignment horizontal="left" wrapText="1"/>
    </xf>
    <xf numFmtId="165" fontId="917" fillId="0" borderId="0" xfId="0" applyNumberFormat="1" applyFont="1" applyAlignment="1">
      <alignment horizontal="right" wrapText="1"/>
    </xf>
    <xf numFmtId="0" fontId="918" fillId="0" borderId="0" xfId="0" applyFont="1" applyAlignment="1">
      <alignment horizontal="left" wrapText="1"/>
    </xf>
    <xf numFmtId="165" fontId="919" fillId="0" borderId="0" xfId="0" applyNumberFormat="1" applyFont="1" applyAlignment="1">
      <alignment horizontal="right" wrapText="1"/>
    </xf>
    <xf numFmtId="0" fontId="920" fillId="0" borderId="0" xfId="0" applyFont="1" applyAlignment="1">
      <alignment horizontal="left" wrapText="1"/>
    </xf>
    <xf numFmtId="165" fontId="921" fillId="0" borderId="0" xfId="0" applyNumberFormat="1" applyFont="1" applyAlignment="1">
      <alignment horizontal="right" wrapText="1"/>
    </xf>
    <xf numFmtId="0" fontId="922" fillId="0" borderId="0" xfId="0" applyFont="1" applyAlignment="1">
      <alignment horizontal="left" wrapText="1"/>
    </xf>
    <xf numFmtId="165" fontId="923" fillId="0" borderId="0" xfId="0" applyNumberFormat="1" applyFont="1" applyAlignment="1">
      <alignment horizontal="right" wrapText="1"/>
    </xf>
    <xf numFmtId="0" fontId="924" fillId="0" borderId="0" xfId="0" applyFont="1" applyAlignment="1">
      <alignment horizontal="left" wrapText="1"/>
    </xf>
    <xf numFmtId="165" fontId="925" fillId="0" borderId="0" xfId="0" applyNumberFormat="1" applyFont="1" applyAlignment="1">
      <alignment horizontal="right" wrapText="1"/>
    </xf>
    <xf numFmtId="0" fontId="926" fillId="0" borderId="0" xfId="0" applyFont="1" applyAlignment="1">
      <alignment horizontal="left" wrapText="1"/>
    </xf>
    <xf numFmtId="165" fontId="927" fillId="0" borderId="0" xfId="0" applyNumberFormat="1" applyFont="1" applyAlignment="1">
      <alignment horizontal="right" wrapText="1"/>
    </xf>
    <xf numFmtId="0" fontId="928" fillId="0" borderId="0" xfId="0" applyFont="1" applyAlignment="1">
      <alignment horizontal="left" wrapText="1"/>
    </xf>
    <xf numFmtId="165" fontId="929" fillId="0" borderId="0" xfId="0" applyNumberFormat="1" applyFont="1" applyAlignment="1">
      <alignment horizontal="right" wrapText="1"/>
    </xf>
    <xf numFmtId="0" fontId="930" fillId="0" borderId="0" xfId="0" applyFont="1" applyAlignment="1">
      <alignment horizontal="left" wrapText="1"/>
    </xf>
    <xf numFmtId="165" fontId="931" fillId="0" borderId="0" xfId="0" applyNumberFormat="1" applyFont="1" applyAlignment="1">
      <alignment horizontal="right" wrapText="1"/>
    </xf>
    <xf numFmtId="0" fontId="932" fillId="0" borderId="0" xfId="0" applyFont="1" applyAlignment="1">
      <alignment horizontal="left" wrapText="1"/>
    </xf>
    <xf numFmtId="165" fontId="933" fillId="0" borderId="0" xfId="0" applyNumberFormat="1" applyFont="1" applyAlignment="1">
      <alignment horizontal="right" wrapText="1"/>
    </xf>
    <xf numFmtId="0" fontId="934" fillId="0" borderId="0" xfId="0" applyFont="1" applyAlignment="1">
      <alignment horizontal="left" wrapText="1"/>
    </xf>
    <xf numFmtId="165" fontId="935" fillId="0" borderId="0" xfId="0" applyNumberFormat="1" applyFont="1" applyAlignment="1">
      <alignment horizontal="right" wrapText="1"/>
    </xf>
    <xf numFmtId="0" fontId="936" fillId="0" borderId="0" xfId="0" applyFont="1" applyAlignment="1">
      <alignment horizontal="left" wrapText="1"/>
    </xf>
    <xf numFmtId="165" fontId="937" fillId="0" borderId="0" xfId="0" applyNumberFormat="1" applyFont="1" applyAlignment="1">
      <alignment horizontal="right" wrapText="1"/>
    </xf>
    <xf numFmtId="0" fontId="938" fillId="0" borderId="0" xfId="0" applyFont="1" applyAlignment="1">
      <alignment horizontal="left" wrapText="1"/>
    </xf>
    <xf numFmtId="165" fontId="939" fillId="0" borderId="0" xfId="0" applyNumberFormat="1" applyFont="1" applyAlignment="1">
      <alignment horizontal="right" wrapText="1"/>
    </xf>
    <xf numFmtId="0" fontId="940" fillId="0" borderId="0" xfId="0" applyFont="1" applyAlignment="1">
      <alignment horizontal="left" wrapText="1"/>
    </xf>
    <xf numFmtId="165" fontId="941" fillId="0" borderId="0" xfId="0" applyNumberFormat="1" applyFont="1" applyAlignment="1">
      <alignment horizontal="right" wrapText="1"/>
    </xf>
    <xf numFmtId="0" fontId="942" fillId="0" borderId="0" xfId="0" applyFont="1" applyAlignment="1">
      <alignment horizontal="left" wrapText="1"/>
    </xf>
    <xf numFmtId="165" fontId="943" fillId="0" borderId="0" xfId="0" applyNumberFormat="1" applyFont="1" applyAlignment="1">
      <alignment horizontal="right" wrapText="1"/>
    </xf>
    <xf numFmtId="0" fontId="944" fillId="0" borderId="0" xfId="0" applyFont="1" applyAlignment="1">
      <alignment horizontal="left" wrapText="1"/>
    </xf>
    <xf numFmtId="165" fontId="945" fillId="0" borderId="0" xfId="0" applyNumberFormat="1" applyFont="1" applyAlignment="1">
      <alignment horizontal="right" wrapText="1"/>
    </xf>
    <xf numFmtId="0" fontId="946" fillId="0" borderId="0" xfId="0" applyFont="1" applyAlignment="1">
      <alignment horizontal="left" wrapText="1"/>
    </xf>
    <xf numFmtId="165" fontId="947" fillId="0" borderId="0" xfId="0" applyNumberFormat="1" applyFont="1" applyAlignment="1">
      <alignment horizontal="right" wrapText="1"/>
    </xf>
    <xf numFmtId="0" fontId="948" fillId="0" borderId="0" xfId="0" applyFont="1" applyAlignment="1">
      <alignment horizontal="left" wrapText="1"/>
    </xf>
    <xf numFmtId="165" fontId="949" fillId="0" borderId="0" xfId="0" applyNumberFormat="1" applyFont="1" applyAlignment="1">
      <alignment horizontal="right" wrapText="1"/>
    </xf>
    <xf numFmtId="0" fontId="950" fillId="0" borderId="0" xfId="0" applyFont="1" applyAlignment="1">
      <alignment horizontal="left" wrapText="1"/>
    </xf>
    <xf numFmtId="165" fontId="951" fillId="0" borderId="0" xfId="0" applyNumberFormat="1" applyFont="1" applyAlignment="1">
      <alignment horizontal="right" wrapText="1"/>
    </xf>
    <xf numFmtId="0" fontId="952" fillId="0" borderId="0" xfId="0" applyFont="1" applyAlignment="1">
      <alignment horizontal="left" wrapText="1"/>
    </xf>
    <xf numFmtId="165" fontId="953" fillId="0" borderId="0" xfId="0" applyNumberFormat="1" applyFont="1" applyAlignment="1">
      <alignment horizontal="right" wrapText="1"/>
    </xf>
    <xf numFmtId="0" fontId="954" fillId="0" borderId="0" xfId="0" applyFont="1" applyAlignment="1">
      <alignment horizontal="left" wrapText="1"/>
    </xf>
    <xf numFmtId="165" fontId="955" fillId="0" borderId="0" xfId="0" applyNumberFormat="1" applyFont="1" applyAlignment="1">
      <alignment horizontal="right" wrapText="1"/>
    </xf>
    <xf numFmtId="0" fontId="956" fillId="0" borderId="0" xfId="0" applyFont="1" applyAlignment="1">
      <alignment horizontal="left" wrapText="1"/>
    </xf>
    <xf numFmtId="165" fontId="957" fillId="0" borderId="0" xfId="0" applyNumberFormat="1" applyFont="1" applyAlignment="1">
      <alignment horizontal="right" wrapText="1"/>
    </xf>
    <xf numFmtId="0" fontId="958" fillId="0" borderId="0" xfId="0" applyFont="1" applyAlignment="1">
      <alignment horizontal="left" wrapText="1"/>
    </xf>
    <xf numFmtId="165" fontId="959" fillId="0" borderId="0" xfId="0" applyNumberFormat="1" applyFont="1" applyAlignment="1">
      <alignment horizontal="right" wrapText="1"/>
    </xf>
    <xf numFmtId="0" fontId="960" fillId="0" borderId="0" xfId="0" applyFont="1" applyAlignment="1">
      <alignment horizontal="left" wrapText="1"/>
    </xf>
    <xf numFmtId="165" fontId="961" fillId="0" borderId="0" xfId="0" applyNumberFormat="1" applyFont="1" applyAlignment="1">
      <alignment horizontal="right" wrapText="1"/>
    </xf>
    <xf numFmtId="0" fontId="962" fillId="0" borderId="0" xfId="0" applyFont="1" applyAlignment="1">
      <alignment horizontal="left" wrapText="1"/>
    </xf>
    <xf numFmtId="165" fontId="963" fillId="0" borderId="0" xfId="0" applyNumberFormat="1" applyFont="1" applyAlignment="1">
      <alignment horizontal="right" wrapText="1"/>
    </xf>
    <xf numFmtId="0" fontId="964" fillId="0" borderId="0" xfId="0" applyFont="1" applyAlignment="1">
      <alignment horizontal="left" wrapText="1"/>
    </xf>
    <xf numFmtId="165" fontId="965" fillId="0" borderId="0" xfId="0" applyNumberFormat="1" applyFont="1" applyAlignment="1">
      <alignment horizontal="right" wrapText="1"/>
    </xf>
    <xf numFmtId="0" fontId="966" fillId="0" borderId="0" xfId="0" applyFont="1" applyAlignment="1">
      <alignment horizontal="left" wrapText="1"/>
    </xf>
    <xf numFmtId="165" fontId="967" fillId="0" borderId="0" xfId="0" applyNumberFormat="1" applyFont="1" applyAlignment="1">
      <alignment horizontal="right" wrapText="1"/>
    </xf>
    <xf numFmtId="0" fontId="968" fillId="0" borderId="0" xfId="0" applyFont="1" applyAlignment="1">
      <alignment horizontal="left" wrapText="1"/>
    </xf>
    <xf numFmtId="165" fontId="969" fillId="0" borderId="0" xfId="0" applyNumberFormat="1" applyFont="1" applyAlignment="1">
      <alignment horizontal="right" wrapText="1"/>
    </xf>
    <xf numFmtId="0" fontId="970" fillId="0" borderId="0" xfId="0" applyFont="1" applyAlignment="1">
      <alignment horizontal="left" wrapText="1"/>
    </xf>
    <xf numFmtId="165" fontId="971" fillId="0" borderId="0" xfId="0" applyNumberFormat="1" applyFont="1" applyAlignment="1">
      <alignment horizontal="right" wrapText="1"/>
    </xf>
    <xf numFmtId="0" fontId="972" fillId="0" borderId="0" xfId="0" applyFont="1" applyAlignment="1">
      <alignment horizontal="left" wrapText="1"/>
    </xf>
    <xf numFmtId="165" fontId="973" fillId="0" borderId="0" xfId="0" applyNumberFormat="1" applyFont="1" applyAlignment="1">
      <alignment horizontal="right" wrapText="1"/>
    </xf>
    <xf numFmtId="0" fontId="974" fillId="0" borderId="0" xfId="0" applyFont="1" applyAlignment="1">
      <alignment horizontal="left" wrapText="1"/>
    </xf>
    <xf numFmtId="165" fontId="975" fillId="0" borderId="0" xfId="0" applyNumberFormat="1" applyFont="1" applyAlignment="1">
      <alignment horizontal="right" wrapText="1"/>
    </xf>
    <xf numFmtId="0" fontId="976" fillId="0" borderId="0" xfId="0" applyFont="1" applyAlignment="1">
      <alignment horizontal="left" wrapText="1"/>
    </xf>
    <xf numFmtId="165" fontId="977" fillId="0" borderId="0" xfId="0" applyNumberFormat="1" applyFont="1" applyAlignment="1">
      <alignment horizontal="right" wrapText="1"/>
    </xf>
    <xf numFmtId="0" fontId="978" fillId="0" borderId="0" xfId="0" applyFont="1" applyAlignment="1">
      <alignment horizontal="left" wrapText="1"/>
    </xf>
    <xf numFmtId="165" fontId="979" fillId="0" borderId="0" xfId="0" applyNumberFormat="1" applyFont="1" applyAlignment="1">
      <alignment horizontal="right" wrapText="1"/>
    </xf>
    <xf numFmtId="0" fontId="980" fillId="0" borderId="0" xfId="0" applyFont="1" applyAlignment="1">
      <alignment horizontal="left" wrapText="1"/>
    </xf>
    <xf numFmtId="165" fontId="981" fillId="0" borderId="0" xfId="0" applyNumberFormat="1" applyFont="1" applyAlignment="1">
      <alignment horizontal="right" wrapText="1"/>
    </xf>
    <xf numFmtId="0" fontId="982" fillId="0" borderId="0" xfId="0" applyFont="1" applyAlignment="1">
      <alignment horizontal="left" wrapText="1"/>
    </xf>
    <xf numFmtId="165" fontId="983" fillId="0" borderId="0" xfId="0" applyNumberFormat="1" applyFont="1" applyAlignment="1">
      <alignment horizontal="right" wrapText="1"/>
    </xf>
    <xf numFmtId="0" fontId="984" fillId="0" borderId="0" xfId="0" applyFont="1" applyAlignment="1">
      <alignment horizontal="left" wrapText="1"/>
    </xf>
    <xf numFmtId="165" fontId="985" fillId="0" borderId="0" xfId="0" applyNumberFormat="1" applyFont="1" applyAlignment="1">
      <alignment horizontal="right" wrapText="1"/>
    </xf>
    <xf numFmtId="0" fontId="986" fillId="0" borderId="0" xfId="0" applyFont="1" applyAlignment="1">
      <alignment horizontal="left" wrapText="1"/>
    </xf>
    <xf numFmtId="165" fontId="987" fillId="0" borderId="0" xfId="0" applyNumberFormat="1" applyFont="1" applyAlignment="1">
      <alignment horizontal="right" wrapText="1"/>
    </xf>
    <xf numFmtId="0" fontId="988" fillId="0" borderId="0" xfId="0" applyFont="1" applyAlignment="1">
      <alignment horizontal="left" wrapText="1"/>
    </xf>
    <xf numFmtId="165" fontId="989" fillId="0" borderId="0" xfId="0" applyNumberFormat="1" applyFont="1" applyAlignment="1">
      <alignment horizontal="right" wrapText="1"/>
    </xf>
    <xf numFmtId="0" fontId="990" fillId="0" borderId="0" xfId="0" applyFont="1" applyAlignment="1">
      <alignment horizontal="left" wrapText="1"/>
    </xf>
    <xf numFmtId="165" fontId="991" fillId="0" borderId="0" xfId="0" applyNumberFormat="1" applyFont="1" applyAlignment="1">
      <alignment horizontal="right" wrapText="1"/>
    </xf>
    <xf numFmtId="0" fontId="992" fillId="0" borderId="0" xfId="0" applyFont="1" applyAlignment="1">
      <alignment horizontal="left" wrapText="1"/>
    </xf>
    <xf numFmtId="165" fontId="993" fillId="0" borderId="0" xfId="0" applyNumberFormat="1" applyFont="1" applyAlignment="1">
      <alignment horizontal="right" wrapText="1"/>
    </xf>
    <xf numFmtId="0" fontId="994" fillId="0" borderId="0" xfId="0" applyFont="1" applyAlignment="1">
      <alignment horizontal="left" wrapText="1"/>
    </xf>
    <xf numFmtId="165" fontId="995" fillId="0" borderId="0" xfId="0" applyNumberFormat="1" applyFont="1" applyAlignment="1">
      <alignment horizontal="right" wrapText="1"/>
    </xf>
    <xf numFmtId="0" fontId="996" fillId="0" borderId="0" xfId="0" applyFont="1" applyAlignment="1">
      <alignment horizontal="left" wrapText="1"/>
    </xf>
    <xf numFmtId="165" fontId="997" fillId="0" borderId="0" xfId="0" applyNumberFormat="1" applyFont="1" applyAlignment="1">
      <alignment horizontal="right" wrapText="1"/>
    </xf>
    <xf numFmtId="0" fontId="998" fillId="0" borderId="0" xfId="0" applyFont="1" applyAlignment="1">
      <alignment horizontal="left" wrapText="1"/>
    </xf>
    <xf numFmtId="165" fontId="999" fillId="0" borderId="0" xfId="0" applyNumberFormat="1" applyFont="1" applyAlignment="1">
      <alignment horizontal="right" wrapText="1"/>
    </xf>
    <xf numFmtId="0" fontId="1000" fillId="0" borderId="0" xfId="0" applyFont="1" applyAlignment="1">
      <alignment horizontal="left" wrapText="1"/>
    </xf>
    <xf numFmtId="165" fontId="1001" fillId="0" borderId="0" xfId="0" applyNumberFormat="1" applyFont="1" applyAlignment="1">
      <alignment horizontal="right" wrapText="1"/>
    </xf>
    <xf numFmtId="0" fontId="1002" fillId="0" borderId="0" xfId="0" applyFont="1" applyAlignment="1">
      <alignment horizontal="left" wrapText="1"/>
    </xf>
    <xf numFmtId="165" fontId="1003" fillId="0" borderId="0" xfId="0" applyNumberFormat="1" applyFont="1" applyAlignment="1">
      <alignment horizontal="right" wrapText="1"/>
    </xf>
    <xf numFmtId="0" fontId="1004" fillId="0" borderId="0" xfId="0" applyFont="1" applyAlignment="1">
      <alignment horizontal="left" wrapText="1"/>
    </xf>
    <xf numFmtId="165" fontId="1005" fillId="0" borderId="0" xfId="0" applyNumberFormat="1" applyFont="1" applyAlignment="1">
      <alignment horizontal="right" wrapText="1"/>
    </xf>
    <xf numFmtId="0" fontId="1006" fillId="0" borderId="0" xfId="0" applyFont="1" applyAlignment="1">
      <alignment horizontal="left" wrapText="1"/>
    </xf>
    <xf numFmtId="165" fontId="1007" fillId="0" borderId="0" xfId="0" applyNumberFormat="1" applyFont="1" applyAlignment="1">
      <alignment horizontal="right" wrapText="1"/>
    </xf>
    <xf numFmtId="0" fontId="1008" fillId="0" borderId="0" xfId="0" applyFont="1" applyAlignment="1">
      <alignment horizontal="left" wrapText="1"/>
    </xf>
    <xf numFmtId="165" fontId="1009" fillId="0" borderId="0" xfId="0" applyNumberFormat="1" applyFont="1" applyAlignment="1">
      <alignment horizontal="right" wrapText="1"/>
    </xf>
    <xf numFmtId="0" fontId="1010" fillId="0" borderId="0" xfId="0" applyFont="1" applyAlignment="1">
      <alignment horizontal="left" wrapText="1"/>
    </xf>
    <xf numFmtId="165" fontId="1011" fillId="0" borderId="0" xfId="0" applyNumberFormat="1" applyFont="1" applyAlignment="1">
      <alignment horizontal="right" wrapText="1"/>
    </xf>
    <xf numFmtId="0" fontId="1012" fillId="0" borderId="0" xfId="0" applyFont="1" applyAlignment="1">
      <alignment horizontal="left" wrapText="1"/>
    </xf>
    <xf numFmtId="165" fontId="1013" fillId="0" borderId="0" xfId="0" applyNumberFormat="1" applyFont="1" applyAlignment="1">
      <alignment horizontal="right" wrapText="1"/>
    </xf>
    <xf numFmtId="0" fontId="1014" fillId="0" borderId="0" xfId="0" applyFont="1" applyAlignment="1">
      <alignment horizontal="left" wrapText="1"/>
    </xf>
    <xf numFmtId="165" fontId="1015" fillId="0" borderId="0" xfId="0" applyNumberFormat="1" applyFont="1" applyAlignment="1">
      <alignment horizontal="right" wrapText="1"/>
    </xf>
    <xf numFmtId="0" fontId="1016" fillId="0" borderId="0" xfId="0" applyFont="1" applyAlignment="1">
      <alignment horizontal="left" wrapText="1"/>
    </xf>
    <xf numFmtId="165" fontId="1017" fillId="0" borderId="0" xfId="0" applyNumberFormat="1" applyFont="1" applyAlignment="1">
      <alignment horizontal="right" wrapText="1"/>
    </xf>
    <xf numFmtId="0" fontId="1018" fillId="0" borderId="0" xfId="0" applyFont="1" applyAlignment="1">
      <alignment horizontal="left" wrapText="1"/>
    </xf>
    <xf numFmtId="165" fontId="1019" fillId="0" borderId="0" xfId="0" applyNumberFormat="1" applyFont="1" applyAlignment="1">
      <alignment horizontal="right" wrapText="1"/>
    </xf>
    <xf numFmtId="0" fontId="1020" fillId="0" borderId="0" xfId="0" applyFont="1" applyAlignment="1">
      <alignment horizontal="left" wrapText="1"/>
    </xf>
    <xf numFmtId="165" fontId="1021" fillId="0" borderId="0" xfId="0" applyNumberFormat="1" applyFont="1" applyAlignment="1">
      <alignment horizontal="right" wrapText="1"/>
    </xf>
    <xf numFmtId="0" fontId="1022" fillId="0" borderId="0" xfId="0" applyFont="1" applyAlignment="1">
      <alignment horizontal="left" wrapText="1"/>
    </xf>
    <xf numFmtId="165" fontId="1023" fillId="0" borderId="0" xfId="0" applyNumberFormat="1" applyFont="1" applyAlignment="1">
      <alignment horizontal="right" wrapText="1"/>
    </xf>
    <xf numFmtId="0" fontId="1024" fillId="0" borderId="0" xfId="0" applyFont="1" applyAlignment="1">
      <alignment horizontal="left" wrapText="1"/>
    </xf>
    <xf numFmtId="165" fontId="1025" fillId="0" borderId="0" xfId="0" applyNumberFormat="1" applyFont="1" applyAlignment="1">
      <alignment horizontal="right" wrapText="1"/>
    </xf>
    <xf numFmtId="0" fontId="1026" fillId="0" borderId="0" xfId="0" applyFont="1" applyAlignment="1">
      <alignment horizontal="left" wrapText="1"/>
    </xf>
    <xf numFmtId="165" fontId="1027" fillId="0" borderId="0" xfId="0" applyNumberFormat="1" applyFont="1" applyAlignment="1">
      <alignment horizontal="right" wrapText="1"/>
    </xf>
    <xf numFmtId="0" fontId="1028" fillId="0" borderId="0" xfId="0" applyFont="1" applyAlignment="1">
      <alignment horizontal="left" wrapText="1"/>
    </xf>
    <xf numFmtId="165" fontId="1029" fillId="0" borderId="0" xfId="0" applyNumberFormat="1" applyFont="1" applyAlignment="1">
      <alignment horizontal="right" wrapText="1"/>
    </xf>
    <xf numFmtId="0" fontId="1030" fillId="0" borderId="0" xfId="0" applyFont="1" applyAlignment="1">
      <alignment horizontal="left" wrapText="1"/>
    </xf>
    <xf numFmtId="165" fontId="1031" fillId="0" borderId="0" xfId="0" applyNumberFormat="1" applyFont="1" applyAlignment="1">
      <alignment horizontal="right" wrapText="1"/>
    </xf>
    <xf numFmtId="0" fontId="1032" fillId="0" borderId="0" xfId="0" applyFont="1" applyAlignment="1">
      <alignment horizontal="left" wrapText="1"/>
    </xf>
    <xf numFmtId="165" fontId="1033" fillId="0" borderId="0" xfId="0" applyNumberFormat="1" applyFont="1" applyAlignment="1">
      <alignment horizontal="right" wrapText="1"/>
    </xf>
    <xf numFmtId="0" fontId="1034" fillId="0" borderId="0" xfId="0" applyFont="1" applyAlignment="1">
      <alignment horizontal="left" wrapText="1"/>
    </xf>
    <xf numFmtId="165" fontId="1035" fillId="0" borderId="0" xfId="0" applyNumberFormat="1" applyFont="1" applyAlignment="1">
      <alignment horizontal="right" wrapText="1"/>
    </xf>
    <xf numFmtId="0" fontId="1036" fillId="0" borderId="0" xfId="0" applyFont="1" applyAlignment="1">
      <alignment horizontal="left" wrapText="1"/>
    </xf>
    <xf numFmtId="165" fontId="1037" fillId="0" borderId="0" xfId="0" applyNumberFormat="1" applyFont="1" applyAlignment="1">
      <alignment horizontal="right" wrapText="1"/>
    </xf>
    <xf numFmtId="0" fontId="1038" fillId="0" borderId="0" xfId="0" applyFont="1" applyAlignment="1">
      <alignment horizontal="left" wrapText="1"/>
    </xf>
    <xf numFmtId="165" fontId="1039" fillId="0" borderId="0" xfId="0" applyNumberFormat="1" applyFont="1" applyAlignment="1">
      <alignment horizontal="right" wrapText="1"/>
    </xf>
    <xf numFmtId="0" fontId="1040" fillId="0" borderId="0" xfId="0" applyFont="1" applyAlignment="1">
      <alignment horizontal="left" wrapText="1"/>
    </xf>
    <xf numFmtId="165" fontId="1041" fillId="0" borderId="0" xfId="0" applyNumberFormat="1" applyFont="1" applyAlignment="1">
      <alignment horizontal="right" wrapText="1"/>
    </xf>
    <xf numFmtId="0" fontId="1042" fillId="0" borderId="0" xfId="0" applyFont="1" applyAlignment="1">
      <alignment horizontal="left" wrapText="1"/>
    </xf>
    <xf numFmtId="165" fontId="1043" fillId="0" borderId="0" xfId="0" applyNumberFormat="1" applyFont="1" applyAlignment="1">
      <alignment horizontal="right" wrapText="1"/>
    </xf>
    <xf numFmtId="0" fontId="1044" fillId="0" borderId="0" xfId="0" applyFont="1" applyAlignment="1">
      <alignment horizontal="left" wrapText="1"/>
    </xf>
    <xf numFmtId="165" fontId="1045" fillId="0" borderId="0" xfId="0" applyNumberFormat="1" applyFont="1" applyAlignment="1">
      <alignment horizontal="right" wrapText="1"/>
    </xf>
    <xf numFmtId="0" fontId="1046" fillId="0" borderId="0" xfId="0" applyFont="1" applyAlignment="1">
      <alignment horizontal="left" wrapText="1"/>
    </xf>
    <xf numFmtId="165" fontId="1047" fillId="0" borderId="0" xfId="0" applyNumberFormat="1" applyFont="1" applyAlignment="1">
      <alignment horizontal="right" wrapText="1"/>
    </xf>
    <xf numFmtId="0" fontId="1048" fillId="0" borderId="0" xfId="0" applyFont="1" applyAlignment="1">
      <alignment horizontal="left" wrapText="1"/>
    </xf>
    <xf numFmtId="165" fontId="1049" fillId="0" borderId="0" xfId="0" applyNumberFormat="1" applyFont="1" applyAlignment="1">
      <alignment horizontal="right" wrapText="1"/>
    </xf>
    <xf numFmtId="0" fontId="1050" fillId="0" borderId="0" xfId="0" applyFont="1" applyAlignment="1">
      <alignment horizontal="left" wrapText="1"/>
    </xf>
    <xf numFmtId="165" fontId="1051" fillId="0" borderId="0" xfId="0" applyNumberFormat="1" applyFont="1" applyAlignment="1">
      <alignment horizontal="right" wrapText="1"/>
    </xf>
    <xf numFmtId="0" fontId="1052" fillId="0" borderId="0" xfId="0" applyFont="1" applyAlignment="1">
      <alignment horizontal="left" wrapText="1"/>
    </xf>
    <xf numFmtId="165" fontId="1053" fillId="0" borderId="0" xfId="0" applyNumberFormat="1" applyFont="1" applyAlignment="1">
      <alignment horizontal="right" wrapText="1"/>
    </xf>
    <xf numFmtId="0" fontId="1054" fillId="0" borderId="0" xfId="0" applyFont="1" applyAlignment="1">
      <alignment horizontal="left" wrapText="1"/>
    </xf>
    <xf numFmtId="165" fontId="1055" fillId="0" borderId="0" xfId="0" applyNumberFormat="1" applyFont="1" applyAlignment="1">
      <alignment horizontal="right" wrapText="1"/>
    </xf>
    <xf numFmtId="0" fontId="1056" fillId="0" borderId="0" xfId="0" applyFont="1" applyAlignment="1">
      <alignment horizontal="left" wrapText="1"/>
    </xf>
    <xf numFmtId="165" fontId="1057" fillId="0" borderId="0" xfId="0" applyNumberFormat="1" applyFont="1" applyAlignment="1">
      <alignment horizontal="right" wrapText="1"/>
    </xf>
    <xf numFmtId="0" fontId="1058" fillId="0" borderId="0" xfId="0" applyFont="1" applyAlignment="1">
      <alignment horizontal="left" wrapText="1"/>
    </xf>
    <xf numFmtId="165" fontId="1059" fillId="0" borderId="0" xfId="0" applyNumberFormat="1" applyFont="1" applyAlignment="1">
      <alignment horizontal="right" wrapText="1"/>
    </xf>
    <xf numFmtId="0" fontId="1060" fillId="0" borderId="0" xfId="0" applyFont="1" applyAlignment="1">
      <alignment horizontal="left" wrapText="1"/>
    </xf>
    <xf numFmtId="165" fontId="1061" fillId="0" borderId="0" xfId="0" applyNumberFormat="1" applyFont="1" applyAlignment="1">
      <alignment horizontal="right" wrapText="1"/>
    </xf>
    <xf numFmtId="0" fontId="1062" fillId="0" borderId="0" xfId="0" applyFont="1" applyAlignment="1">
      <alignment horizontal="left" wrapText="1"/>
    </xf>
    <xf numFmtId="165" fontId="1063" fillId="0" borderId="0" xfId="0" applyNumberFormat="1" applyFont="1" applyAlignment="1">
      <alignment horizontal="right" wrapText="1"/>
    </xf>
    <xf numFmtId="0" fontId="1064" fillId="0" borderId="0" xfId="0" applyFont="1" applyAlignment="1">
      <alignment horizontal="left" wrapText="1"/>
    </xf>
    <xf numFmtId="165" fontId="1065" fillId="0" borderId="0" xfId="0" applyNumberFormat="1" applyFont="1" applyAlignment="1">
      <alignment horizontal="right" wrapText="1"/>
    </xf>
    <xf numFmtId="0" fontId="1066" fillId="0" borderId="0" xfId="0" applyFont="1" applyAlignment="1">
      <alignment horizontal="left" wrapText="1"/>
    </xf>
    <xf numFmtId="165" fontId="1067" fillId="0" borderId="0" xfId="0" applyNumberFormat="1" applyFont="1" applyAlignment="1">
      <alignment horizontal="right" wrapText="1"/>
    </xf>
    <xf numFmtId="0" fontId="1068" fillId="0" borderId="0" xfId="0" applyFont="1" applyAlignment="1">
      <alignment horizontal="left" wrapText="1"/>
    </xf>
    <xf numFmtId="165" fontId="1069" fillId="0" borderId="0" xfId="0" applyNumberFormat="1" applyFont="1" applyAlignment="1">
      <alignment horizontal="right" wrapText="1"/>
    </xf>
    <xf numFmtId="0" fontId="1070" fillId="0" borderId="0" xfId="0" applyFont="1" applyAlignment="1">
      <alignment horizontal="left" wrapText="1"/>
    </xf>
    <xf numFmtId="165" fontId="1071" fillId="0" borderId="0" xfId="0" applyNumberFormat="1" applyFont="1" applyAlignment="1">
      <alignment horizontal="right" wrapText="1"/>
    </xf>
    <xf numFmtId="0" fontId="1072" fillId="0" borderId="0" xfId="0" applyFont="1" applyAlignment="1">
      <alignment horizontal="left" wrapText="1"/>
    </xf>
    <xf numFmtId="165" fontId="1073" fillId="0" borderId="0" xfId="0" applyNumberFormat="1" applyFont="1" applyAlignment="1">
      <alignment horizontal="right" wrapText="1"/>
    </xf>
    <xf numFmtId="0" fontId="1074" fillId="0" borderId="0" xfId="0" applyFont="1" applyAlignment="1">
      <alignment horizontal="left" wrapText="1"/>
    </xf>
    <xf numFmtId="165" fontId="1075" fillId="0" borderId="0" xfId="0" applyNumberFormat="1" applyFont="1" applyAlignment="1">
      <alignment horizontal="right" wrapText="1"/>
    </xf>
    <xf numFmtId="0" fontId="1076" fillId="0" borderId="0" xfId="0" applyFont="1" applyAlignment="1">
      <alignment horizontal="left" wrapText="1"/>
    </xf>
    <xf numFmtId="165" fontId="1077" fillId="0" borderId="0" xfId="0" applyNumberFormat="1" applyFont="1" applyAlignment="1">
      <alignment horizontal="right" wrapText="1"/>
    </xf>
    <xf numFmtId="0" fontId="1078" fillId="0" borderId="0" xfId="0" applyFont="1" applyAlignment="1">
      <alignment horizontal="left" wrapText="1"/>
    </xf>
    <xf numFmtId="165" fontId="1079" fillId="0" borderId="0" xfId="0" applyNumberFormat="1" applyFont="1" applyAlignment="1">
      <alignment horizontal="right" wrapText="1"/>
    </xf>
    <xf numFmtId="0" fontId="1080" fillId="0" borderId="0" xfId="0" applyFont="1" applyAlignment="1">
      <alignment horizontal="left" wrapText="1"/>
    </xf>
    <xf numFmtId="165" fontId="1081" fillId="0" borderId="0" xfId="0" applyNumberFormat="1" applyFont="1" applyAlignment="1">
      <alignment horizontal="right" wrapText="1"/>
    </xf>
    <xf numFmtId="0" fontId="1082" fillId="0" borderId="0" xfId="0" applyFont="1" applyAlignment="1">
      <alignment horizontal="left" wrapText="1"/>
    </xf>
    <xf numFmtId="165" fontId="1083" fillId="0" borderId="0" xfId="0" applyNumberFormat="1" applyFont="1" applyAlignment="1">
      <alignment horizontal="right" wrapText="1"/>
    </xf>
    <xf numFmtId="0" fontId="1084" fillId="0" borderId="0" xfId="0" applyFont="1" applyAlignment="1">
      <alignment horizontal="left" wrapText="1"/>
    </xf>
    <xf numFmtId="165" fontId="1085" fillId="0" borderId="0" xfId="0" applyNumberFormat="1" applyFont="1" applyAlignment="1">
      <alignment horizontal="right" wrapText="1"/>
    </xf>
    <xf numFmtId="0" fontId="1086" fillId="0" borderId="0" xfId="0" applyFont="1" applyAlignment="1">
      <alignment horizontal="left" wrapText="1"/>
    </xf>
    <xf numFmtId="165" fontId="1087" fillId="0" borderId="0" xfId="0" applyNumberFormat="1" applyFont="1" applyAlignment="1">
      <alignment horizontal="right" wrapText="1"/>
    </xf>
    <xf numFmtId="0" fontId="1088" fillId="0" borderId="0" xfId="0" applyFont="1" applyAlignment="1">
      <alignment horizontal="left" wrapText="1"/>
    </xf>
    <xf numFmtId="165" fontId="1089" fillId="0" borderId="0" xfId="0" applyNumberFormat="1" applyFont="1" applyAlignment="1">
      <alignment horizontal="right" wrapText="1"/>
    </xf>
    <xf numFmtId="0" fontId="1090" fillId="0" borderId="0" xfId="0" applyFont="1" applyAlignment="1">
      <alignment horizontal="left" wrapText="1"/>
    </xf>
    <xf numFmtId="165" fontId="1091" fillId="0" borderId="0" xfId="0" applyNumberFormat="1" applyFont="1" applyAlignment="1">
      <alignment horizontal="right" wrapText="1"/>
    </xf>
    <xf numFmtId="0" fontId="1092" fillId="0" borderId="0" xfId="0" applyFont="1" applyAlignment="1">
      <alignment horizontal="left" wrapText="1"/>
    </xf>
    <xf numFmtId="165" fontId="1093" fillId="0" borderId="0" xfId="0" applyNumberFormat="1" applyFont="1" applyAlignment="1">
      <alignment horizontal="right" wrapText="1"/>
    </xf>
    <xf numFmtId="0" fontId="1094" fillId="0" borderId="0" xfId="0" applyFont="1" applyAlignment="1">
      <alignment horizontal="left" wrapText="1"/>
    </xf>
    <xf numFmtId="165" fontId="1095" fillId="0" borderId="0" xfId="0" applyNumberFormat="1" applyFont="1" applyAlignment="1">
      <alignment horizontal="right" wrapText="1"/>
    </xf>
    <xf numFmtId="0" fontId="1096" fillId="0" borderId="0" xfId="0" applyFont="1" applyAlignment="1">
      <alignment horizontal="left" wrapText="1"/>
    </xf>
    <xf numFmtId="165" fontId="1097" fillId="0" borderId="0" xfId="0" applyNumberFormat="1" applyFont="1" applyAlignment="1">
      <alignment horizontal="right" wrapText="1"/>
    </xf>
    <xf numFmtId="0" fontId="1098" fillId="0" borderId="0" xfId="0" applyFont="1" applyAlignment="1">
      <alignment horizontal="left" wrapText="1"/>
    </xf>
    <xf numFmtId="165" fontId="1099" fillId="0" borderId="0" xfId="0" applyNumberFormat="1" applyFont="1" applyAlignment="1">
      <alignment horizontal="right" wrapText="1"/>
    </xf>
    <xf numFmtId="0" fontId="1100" fillId="0" borderId="0" xfId="0" applyFont="1" applyAlignment="1">
      <alignment horizontal="left" wrapText="1"/>
    </xf>
    <xf numFmtId="165" fontId="1101" fillId="0" borderId="0" xfId="0" applyNumberFormat="1" applyFont="1" applyAlignment="1">
      <alignment horizontal="right" wrapText="1"/>
    </xf>
    <xf numFmtId="0" fontId="1102" fillId="0" borderId="0" xfId="0" applyFont="1" applyAlignment="1">
      <alignment horizontal="left" wrapText="1"/>
    </xf>
    <xf numFmtId="165" fontId="1103" fillId="0" borderId="0" xfId="0" applyNumberFormat="1" applyFont="1" applyAlignment="1">
      <alignment horizontal="right" wrapText="1"/>
    </xf>
    <xf numFmtId="0" fontId="1104" fillId="0" borderId="0" xfId="0" applyFont="1" applyAlignment="1">
      <alignment horizontal="left" wrapText="1"/>
    </xf>
    <xf numFmtId="165" fontId="1105" fillId="0" borderId="0" xfId="0" applyNumberFormat="1" applyFont="1" applyAlignment="1">
      <alignment horizontal="right" wrapText="1"/>
    </xf>
    <xf numFmtId="0" fontId="1106" fillId="0" borderId="0" xfId="0" applyFont="1" applyAlignment="1">
      <alignment horizontal="left" wrapText="1"/>
    </xf>
    <xf numFmtId="165" fontId="1107" fillId="0" borderId="0" xfId="0" applyNumberFormat="1" applyFont="1" applyAlignment="1">
      <alignment horizontal="right" wrapText="1"/>
    </xf>
    <xf numFmtId="0" fontId="1108" fillId="0" borderId="0" xfId="0" applyFont="1" applyAlignment="1">
      <alignment horizontal="left" wrapText="1"/>
    </xf>
    <xf numFmtId="165" fontId="1109" fillId="0" borderId="0" xfId="0" applyNumberFormat="1" applyFont="1" applyAlignment="1">
      <alignment horizontal="right" wrapText="1"/>
    </xf>
    <xf numFmtId="0" fontId="1110" fillId="0" borderId="0" xfId="0" applyFont="1" applyAlignment="1">
      <alignment horizontal="left" wrapText="1"/>
    </xf>
    <xf numFmtId="165" fontId="1111" fillId="0" borderId="0" xfId="0" applyNumberFormat="1" applyFont="1" applyAlignment="1">
      <alignment horizontal="right" wrapText="1"/>
    </xf>
    <xf numFmtId="0" fontId="1112" fillId="0" borderId="0" xfId="0" applyFont="1" applyAlignment="1">
      <alignment horizontal="left" wrapText="1"/>
    </xf>
    <xf numFmtId="165" fontId="1113" fillId="0" borderId="0" xfId="0" applyNumberFormat="1" applyFont="1" applyAlignment="1">
      <alignment horizontal="right" wrapText="1"/>
    </xf>
    <xf numFmtId="0" fontId="1114" fillId="0" borderId="0" xfId="0" applyFont="1" applyAlignment="1">
      <alignment horizontal="left" wrapText="1"/>
    </xf>
    <xf numFmtId="165" fontId="1115" fillId="0" borderId="0" xfId="0" applyNumberFormat="1" applyFont="1" applyAlignment="1">
      <alignment horizontal="right" wrapText="1"/>
    </xf>
    <xf numFmtId="0" fontId="1116" fillId="0" borderId="0" xfId="0" applyFont="1" applyAlignment="1">
      <alignment horizontal="left" wrapText="1"/>
    </xf>
    <xf numFmtId="165" fontId="1117" fillId="0" borderId="0" xfId="0" applyNumberFormat="1" applyFont="1" applyAlignment="1">
      <alignment horizontal="right" wrapText="1"/>
    </xf>
    <xf numFmtId="0" fontId="1118" fillId="0" borderId="0" xfId="0" applyFont="1" applyAlignment="1">
      <alignment horizontal="left" wrapText="1"/>
    </xf>
    <xf numFmtId="165" fontId="1119" fillId="0" borderId="0" xfId="0" applyNumberFormat="1" applyFont="1" applyAlignment="1">
      <alignment horizontal="right" wrapText="1"/>
    </xf>
    <xf numFmtId="0" fontId="1120" fillId="0" borderId="0" xfId="0" applyFont="1" applyAlignment="1">
      <alignment horizontal="left" wrapText="1"/>
    </xf>
    <xf numFmtId="165" fontId="1121" fillId="0" borderId="0" xfId="0" applyNumberFormat="1" applyFont="1" applyAlignment="1">
      <alignment horizontal="right" wrapText="1"/>
    </xf>
    <xf numFmtId="0" fontId="1122" fillId="0" borderId="0" xfId="0" applyFont="1" applyAlignment="1">
      <alignment horizontal="left" wrapText="1"/>
    </xf>
    <xf numFmtId="165" fontId="1123" fillId="0" borderId="0" xfId="0" applyNumberFormat="1" applyFont="1" applyAlignment="1">
      <alignment horizontal="right" wrapText="1"/>
    </xf>
    <xf numFmtId="0" fontId="1124" fillId="0" borderId="0" xfId="0" applyFont="1" applyAlignment="1">
      <alignment horizontal="left" wrapText="1"/>
    </xf>
    <xf numFmtId="165" fontId="1125" fillId="0" borderId="0" xfId="0" applyNumberFormat="1" applyFont="1" applyAlignment="1">
      <alignment horizontal="right" wrapText="1"/>
    </xf>
    <xf numFmtId="0" fontId="1126" fillId="0" borderId="0" xfId="0" applyFont="1" applyAlignment="1">
      <alignment horizontal="left" wrapText="1"/>
    </xf>
    <xf numFmtId="165" fontId="1127" fillId="0" borderId="0" xfId="0" applyNumberFormat="1" applyFont="1" applyAlignment="1">
      <alignment horizontal="right" wrapText="1"/>
    </xf>
    <xf numFmtId="0" fontId="1128" fillId="0" borderId="0" xfId="0" applyFont="1" applyAlignment="1">
      <alignment horizontal="left" wrapText="1"/>
    </xf>
    <xf numFmtId="165" fontId="1129" fillId="0" borderId="0" xfId="0" applyNumberFormat="1" applyFont="1" applyAlignment="1">
      <alignment horizontal="right" wrapText="1"/>
    </xf>
    <xf numFmtId="0" fontId="1130" fillId="0" borderId="0" xfId="0" applyFont="1" applyAlignment="1">
      <alignment horizontal="left" wrapText="1"/>
    </xf>
    <xf numFmtId="165" fontId="1131" fillId="0" borderId="0" xfId="0" applyNumberFormat="1" applyFont="1" applyAlignment="1">
      <alignment horizontal="right" wrapText="1"/>
    </xf>
    <xf numFmtId="0" fontId="1132" fillId="0" borderId="0" xfId="0" applyFont="1" applyAlignment="1">
      <alignment horizontal="left" wrapText="1"/>
    </xf>
    <xf numFmtId="165" fontId="1133" fillId="0" borderId="0" xfId="0" applyNumberFormat="1" applyFont="1" applyAlignment="1">
      <alignment horizontal="right" wrapText="1"/>
    </xf>
    <xf numFmtId="0" fontId="1134" fillId="0" borderId="0" xfId="0" applyFont="1" applyAlignment="1">
      <alignment horizontal="left" wrapText="1"/>
    </xf>
    <xf numFmtId="165" fontId="1135" fillId="0" borderId="0" xfId="0" applyNumberFormat="1" applyFont="1" applyAlignment="1">
      <alignment horizontal="right" wrapText="1"/>
    </xf>
    <xf numFmtId="0" fontId="1136" fillId="0" borderId="0" xfId="0" applyFont="1" applyAlignment="1">
      <alignment horizontal="left" wrapText="1"/>
    </xf>
    <xf numFmtId="165" fontId="1137" fillId="0" borderId="0" xfId="0" applyNumberFormat="1" applyFont="1" applyAlignment="1">
      <alignment horizontal="right" wrapText="1"/>
    </xf>
    <xf numFmtId="0" fontId="1138" fillId="0" borderId="0" xfId="0" applyFont="1" applyAlignment="1">
      <alignment horizontal="left" wrapText="1"/>
    </xf>
    <xf numFmtId="165" fontId="1139" fillId="0" borderId="0" xfId="0" applyNumberFormat="1" applyFont="1" applyAlignment="1">
      <alignment horizontal="right" wrapText="1"/>
    </xf>
    <xf numFmtId="0" fontId="1140" fillId="0" borderId="0" xfId="0" applyFont="1" applyAlignment="1">
      <alignment horizontal="left" wrapText="1"/>
    </xf>
    <xf numFmtId="165" fontId="1141" fillId="0" borderId="0" xfId="0" applyNumberFormat="1" applyFont="1" applyAlignment="1">
      <alignment horizontal="right" wrapText="1"/>
    </xf>
    <xf numFmtId="0" fontId="1142" fillId="0" borderId="0" xfId="0" applyFont="1" applyAlignment="1">
      <alignment horizontal="left" wrapText="1"/>
    </xf>
    <xf numFmtId="165" fontId="1143" fillId="0" borderId="0" xfId="0" applyNumberFormat="1" applyFont="1" applyAlignment="1">
      <alignment horizontal="right" wrapText="1"/>
    </xf>
    <xf numFmtId="0" fontId="1144" fillId="0" borderId="0" xfId="0" applyFont="1" applyAlignment="1">
      <alignment horizontal="left" wrapText="1"/>
    </xf>
    <xf numFmtId="165" fontId="1145" fillId="0" borderId="0" xfId="0" applyNumberFormat="1" applyFont="1" applyAlignment="1">
      <alignment horizontal="right" wrapText="1"/>
    </xf>
    <xf numFmtId="0" fontId="1146" fillId="0" borderId="0" xfId="0" applyFont="1" applyAlignment="1">
      <alignment horizontal="left" wrapText="1"/>
    </xf>
    <xf numFmtId="165" fontId="1147" fillId="0" borderId="0" xfId="0" applyNumberFormat="1" applyFont="1" applyAlignment="1">
      <alignment horizontal="right" wrapText="1"/>
    </xf>
    <xf numFmtId="0" fontId="1148" fillId="0" borderId="0" xfId="0" applyFont="1" applyAlignment="1">
      <alignment horizontal="left" wrapText="1"/>
    </xf>
    <xf numFmtId="165" fontId="1149" fillId="0" borderId="0" xfId="0" applyNumberFormat="1" applyFont="1" applyAlignment="1">
      <alignment horizontal="right" wrapText="1"/>
    </xf>
    <xf numFmtId="0" fontId="1150" fillId="0" borderId="0" xfId="0" applyFont="1" applyAlignment="1">
      <alignment horizontal="left" wrapText="1"/>
    </xf>
    <xf numFmtId="165" fontId="1151" fillId="0" borderId="0" xfId="0" applyNumberFormat="1" applyFont="1" applyAlignment="1">
      <alignment horizontal="right" wrapText="1"/>
    </xf>
    <xf numFmtId="0" fontId="1152" fillId="0" borderId="0" xfId="0" applyFont="1" applyAlignment="1">
      <alignment horizontal="left" wrapText="1"/>
    </xf>
    <xf numFmtId="165" fontId="1153" fillId="0" borderId="0" xfId="0" applyNumberFormat="1" applyFont="1" applyAlignment="1">
      <alignment horizontal="right" wrapText="1"/>
    </xf>
    <xf numFmtId="0" fontId="1154" fillId="0" borderId="0" xfId="0" applyFont="1" applyAlignment="1">
      <alignment horizontal="left" wrapText="1"/>
    </xf>
    <xf numFmtId="165" fontId="1155" fillId="0" borderId="0" xfId="0" applyNumberFormat="1" applyFont="1" applyAlignment="1">
      <alignment horizontal="right" wrapText="1"/>
    </xf>
    <xf numFmtId="0" fontId="1156" fillId="0" borderId="0" xfId="0" applyFont="1" applyAlignment="1">
      <alignment horizontal="left" wrapText="1"/>
    </xf>
    <xf numFmtId="165" fontId="1157" fillId="0" borderId="0" xfId="0" applyNumberFormat="1" applyFont="1" applyAlignment="1">
      <alignment horizontal="right" wrapText="1"/>
    </xf>
    <xf numFmtId="0" fontId="1158" fillId="0" borderId="0" xfId="0" applyFont="1" applyAlignment="1">
      <alignment horizontal="left" wrapText="1"/>
    </xf>
    <xf numFmtId="165" fontId="1159" fillId="0" borderId="0" xfId="0" applyNumberFormat="1" applyFont="1" applyAlignment="1">
      <alignment horizontal="right" wrapText="1"/>
    </xf>
    <xf numFmtId="0" fontId="1160" fillId="0" borderId="0" xfId="0" applyFont="1" applyAlignment="1">
      <alignment horizontal="left" wrapText="1"/>
    </xf>
    <xf numFmtId="165" fontId="1161" fillId="0" borderId="0" xfId="0" applyNumberFormat="1" applyFont="1" applyAlignment="1">
      <alignment horizontal="right" wrapText="1"/>
    </xf>
    <xf numFmtId="0" fontId="1162" fillId="0" borderId="0" xfId="0" applyFont="1" applyAlignment="1">
      <alignment horizontal="left" wrapText="1"/>
    </xf>
    <xf numFmtId="165" fontId="1163" fillId="0" borderId="0" xfId="0" applyNumberFormat="1" applyFont="1" applyAlignment="1">
      <alignment horizontal="right" wrapText="1"/>
    </xf>
    <xf numFmtId="0" fontId="1164" fillId="0" borderId="0" xfId="0" applyFont="1" applyAlignment="1">
      <alignment horizontal="left" wrapText="1"/>
    </xf>
    <xf numFmtId="165" fontId="1165" fillId="0" borderId="0" xfId="0" applyNumberFormat="1" applyFont="1" applyAlignment="1">
      <alignment horizontal="right" wrapText="1"/>
    </xf>
    <xf numFmtId="0" fontId="1166" fillId="0" borderId="0" xfId="0" applyFont="1" applyAlignment="1">
      <alignment horizontal="left" wrapText="1"/>
    </xf>
    <xf numFmtId="165" fontId="1167" fillId="0" borderId="0" xfId="0" applyNumberFormat="1" applyFont="1" applyAlignment="1">
      <alignment horizontal="right" wrapText="1"/>
    </xf>
    <xf numFmtId="0" fontId="1168" fillId="0" borderId="0" xfId="0" applyFont="1" applyAlignment="1">
      <alignment horizontal="left" wrapText="1"/>
    </xf>
    <xf numFmtId="165" fontId="1169" fillId="0" borderId="0" xfId="0" applyNumberFormat="1" applyFont="1" applyAlignment="1">
      <alignment horizontal="right" wrapText="1"/>
    </xf>
    <xf numFmtId="0" fontId="1170" fillId="0" borderId="0" xfId="0" applyFont="1" applyAlignment="1">
      <alignment horizontal="left" wrapText="1"/>
    </xf>
    <xf numFmtId="165" fontId="1171" fillId="0" borderId="0" xfId="0" applyNumberFormat="1" applyFont="1" applyAlignment="1">
      <alignment horizontal="right" wrapText="1"/>
    </xf>
    <xf numFmtId="0" fontId="1172" fillId="0" borderId="0" xfId="0" applyFont="1" applyAlignment="1">
      <alignment horizontal="left" wrapText="1"/>
    </xf>
    <xf numFmtId="165" fontId="1173" fillId="0" borderId="0" xfId="0" applyNumberFormat="1" applyFont="1" applyAlignment="1">
      <alignment horizontal="right" wrapText="1"/>
    </xf>
    <xf numFmtId="0" fontId="1174" fillId="0" borderId="0" xfId="0" applyFont="1" applyAlignment="1">
      <alignment horizontal="left" wrapText="1"/>
    </xf>
    <xf numFmtId="165" fontId="1175" fillId="0" borderId="0" xfId="0" applyNumberFormat="1" applyFont="1" applyAlignment="1">
      <alignment horizontal="right" wrapText="1"/>
    </xf>
    <xf numFmtId="0" fontId="1176" fillId="0" borderId="0" xfId="0" applyFont="1" applyAlignment="1">
      <alignment horizontal="left" wrapText="1"/>
    </xf>
    <xf numFmtId="165" fontId="1177" fillId="0" borderId="0" xfId="0" applyNumberFormat="1" applyFont="1" applyAlignment="1">
      <alignment horizontal="right" wrapText="1"/>
    </xf>
    <xf numFmtId="0" fontId="1178" fillId="0" borderId="0" xfId="0" applyFont="1" applyAlignment="1">
      <alignment horizontal="left" wrapText="1"/>
    </xf>
    <xf numFmtId="165" fontId="1179" fillId="0" borderId="0" xfId="0" applyNumberFormat="1" applyFont="1" applyAlignment="1">
      <alignment horizontal="right" wrapText="1"/>
    </xf>
    <xf numFmtId="0" fontId="1180" fillId="0" borderId="0" xfId="0" applyFont="1" applyAlignment="1">
      <alignment horizontal="left" wrapText="1"/>
    </xf>
    <xf numFmtId="165" fontId="1181" fillId="0" borderId="0" xfId="0" applyNumberFormat="1" applyFont="1" applyAlignment="1">
      <alignment horizontal="right" wrapText="1"/>
    </xf>
    <xf numFmtId="0" fontId="1182" fillId="0" borderId="0" xfId="0" applyFont="1" applyAlignment="1">
      <alignment horizontal="left" wrapText="1"/>
    </xf>
    <xf numFmtId="165" fontId="1183" fillId="0" borderId="0" xfId="0" applyNumberFormat="1" applyFont="1" applyAlignment="1">
      <alignment horizontal="right" wrapText="1"/>
    </xf>
    <xf numFmtId="0" fontId="1184" fillId="0" borderId="0" xfId="0" applyFont="1" applyAlignment="1">
      <alignment horizontal="left" wrapText="1"/>
    </xf>
    <xf numFmtId="165" fontId="1185" fillId="0" borderId="0" xfId="0" applyNumberFormat="1" applyFont="1" applyAlignment="1">
      <alignment horizontal="right" wrapText="1"/>
    </xf>
    <xf numFmtId="0" fontId="1186" fillId="0" borderId="0" xfId="0" applyFont="1" applyAlignment="1">
      <alignment horizontal="left" wrapText="1"/>
    </xf>
    <xf numFmtId="165" fontId="1187" fillId="0" borderId="0" xfId="0" applyNumberFormat="1" applyFont="1" applyAlignment="1">
      <alignment horizontal="right" wrapText="1"/>
    </xf>
    <xf numFmtId="0" fontId="1188" fillId="0" borderId="0" xfId="0" applyFont="1" applyAlignment="1">
      <alignment horizontal="left" wrapText="1"/>
    </xf>
    <xf numFmtId="165" fontId="1189" fillId="0" borderId="0" xfId="0" applyNumberFormat="1" applyFont="1" applyAlignment="1">
      <alignment horizontal="right" wrapText="1"/>
    </xf>
    <xf numFmtId="0" fontId="1190" fillId="0" borderId="0" xfId="0" applyFont="1" applyAlignment="1">
      <alignment horizontal="left" wrapText="1"/>
    </xf>
    <xf numFmtId="165" fontId="1191" fillId="0" borderId="0" xfId="0" applyNumberFormat="1" applyFont="1" applyAlignment="1">
      <alignment horizontal="right" wrapText="1"/>
    </xf>
    <xf numFmtId="0" fontId="1192" fillId="0" borderId="0" xfId="0" applyFont="1" applyAlignment="1">
      <alignment horizontal="left" wrapText="1"/>
    </xf>
    <xf numFmtId="165" fontId="1193" fillId="0" borderId="0" xfId="0" applyNumberFormat="1" applyFont="1" applyAlignment="1">
      <alignment horizontal="right" wrapText="1"/>
    </xf>
    <xf numFmtId="0" fontId="1194" fillId="0" borderId="0" xfId="0" applyFont="1" applyAlignment="1">
      <alignment horizontal="left" wrapText="1"/>
    </xf>
    <xf numFmtId="165" fontId="1195" fillId="0" borderId="0" xfId="0" applyNumberFormat="1" applyFont="1" applyAlignment="1">
      <alignment horizontal="right" wrapText="1"/>
    </xf>
    <xf numFmtId="0" fontId="1196" fillId="0" borderId="0" xfId="0" applyFont="1" applyAlignment="1">
      <alignment horizontal="left" wrapText="1"/>
    </xf>
    <xf numFmtId="165" fontId="1197" fillId="0" borderId="0" xfId="0" applyNumberFormat="1" applyFont="1" applyAlignment="1">
      <alignment horizontal="right" wrapText="1"/>
    </xf>
    <xf numFmtId="0" fontId="1198" fillId="0" borderId="0" xfId="0" applyFont="1" applyAlignment="1">
      <alignment horizontal="left" wrapText="1"/>
    </xf>
    <xf numFmtId="165" fontId="1199" fillId="0" borderId="0" xfId="0" applyNumberFormat="1" applyFont="1" applyAlignment="1">
      <alignment horizontal="right" wrapText="1"/>
    </xf>
    <xf numFmtId="0" fontId="1200" fillId="0" borderId="0" xfId="0" applyFont="1" applyAlignment="1">
      <alignment horizontal="left" wrapText="1"/>
    </xf>
    <xf numFmtId="165" fontId="1201" fillId="0" borderId="0" xfId="0" applyNumberFormat="1" applyFont="1" applyAlignment="1">
      <alignment horizontal="right" wrapText="1"/>
    </xf>
    <xf numFmtId="0" fontId="1202" fillId="0" borderId="0" xfId="0" applyFont="1" applyAlignment="1">
      <alignment horizontal="left" wrapText="1"/>
    </xf>
    <xf numFmtId="165" fontId="1203" fillId="0" borderId="0" xfId="0" applyNumberFormat="1" applyFont="1" applyAlignment="1">
      <alignment horizontal="right" wrapText="1"/>
    </xf>
    <xf numFmtId="0" fontId="1204" fillId="0" borderId="0" xfId="0" applyFont="1" applyAlignment="1">
      <alignment horizontal="left" wrapText="1"/>
    </xf>
    <xf numFmtId="165" fontId="1205" fillId="0" borderId="0" xfId="0" applyNumberFormat="1" applyFont="1" applyAlignment="1">
      <alignment horizontal="right" wrapText="1"/>
    </xf>
    <xf numFmtId="0" fontId="1206" fillId="0" borderId="0" xfId="0" applyFont="1" applyAlignment="1">
      <alignment horizontal="left" wrapText="1"/>
    </xf>
    <xf numFmtId="165" fontId="1207" fillId="0" borderId="0" xfId="0" applyNumberFormat="1" applyFont="1" applyAlignment="1">
      <alignment horizontal="right" wrapText="1"/>
    </xf>
    <xf numFmtId="0" fontId="1208" fillId="0" borderId="0" xfId="0" applyFont="1" applyAlignment="1">
      <alignment horizontal="left" wrapText="1"/>
    </xf>
    <xf numFmtId="165" fontId="1209" fillId="0" borderId="0" xfId="0" applyNumberFormat="1" applyFont="1" applyAlignment="1">
      <alignment horizontal="right" wrapText="1"/>
    </xf>
    <xf numFmtId="0" fontId="1210" fillId="0" borderId="0" xfId="0" applyFont="1" applyAlignment="1">
      <alignment horizontal="left" wrapText="1"/>
    </xf>
    <xf numFmtId="165" fontId="1211" fillId="0" borderId="0" xfId="0" applyNumberFormat="1" applyFont="1" applyAlignment="1">
      <alignment horizontal="right" wrapText="1"/>
    </xf>
    <xf numFmtId="0" fontId="1212" fillId="0" borderId="0" xfId="0" applyFont="1" applyAlignment="1">
      <alignment horizontal="left" wrapText="1"/>
    </xf>
    <xf numFmtId="165" fontId="1213" fillId="0" borderId="0" xfId="0" applyNumberFormat="1" applyFont="1" applyAlignment="1">
      <alignment horizontal="right" wrapText="1"/>
    </xf>
    <xf numFmtId="0" fontId="1214" fillId="0" borderId="0" xfId="0" applyFont="1" applyAlignment="1">
      <alignment horizontal="left" wrapText="1"/>
    </xf>
    <xf numFmtId="165" fontId="1215" fillId="0" borderId="0" xfId="0" applyNumberFormat="1" applyFont="1" applyAlignment="1">
      <alignment horizontal="right" wrapText="1"/>
    </xf>
    <xf numFmtId="0" fontId="1216" fillId="0" borderId="0" xfId="0" applyFont="1" applyAlignment="1">
      <alignment horizontal="left" wrapText="1"/>
    </xf>
    <xf numFmtId="165" fontId="1217" fillId="0" borderId="0" xfId="0" applyNumberFormat="1" applyFont="1" applyAlignment="1">
      <alignment horizontal="right" wrapText="1"/>
    </xf>
    <xf numFmtId="0" fontId="1218" fillId="0" borderId="0" xfId="0" applyFont="1" applyAlignment="1">
      <alignment horizontal="left" wrapText="1"/>
    </xf>
    <xf numFmtId="165" fontId="1219" fillId="0" borderId="0" xfId="0" applyNumberFormat="1" applyFont="1" applyAlignment="1">
      <alignment horizontal="right" wrapText="1"/>
    </xf>
    <xf numFmtId="0" fontId="1220" fillId="0" borderId="0" xfId="0" applyFont="1" applyAlignment="1">
      <alignment horizontal="left" wrapText="1"/>
    </xf>
    <xf numFmtId="165" fontId="1221" fillId="0" borderId="0" xfId="0" applyNumberFormat="1" applyFont="1" applyAlignment="1">
      <alignment horizontal="right" wrapText="1"/>
    </xf>
    <xf numFmtId="0" fontId="1222" fillId="0" borderId="0" xfId="0" applyFont="1" applyAlignment="1">
      <alignment horizontal="left" wrapText="1"/>
    </xf>
    <xf numFmtId="165" fontId="1223" fillId="0" borderId="0" xfId="0" applyNumberFormat="1" applyFont="1" applyAlignment="1">
      <alignment horizontal="right" wrapText="1"/>
    </xf>
    <xf numFmtId="0" fontId="1224" fillId="0" borderId="0" xfId="0" applyFont="1" applyAlignment="1">
      <alignment horizontal="left" wrapText="1"/>
    </xf>
    <xf numFmtId="165" fontId="1225" fillId="0" borderId="0" xfId="0" applyNumberFormat="1" applyFont="1" applyAlignment="1">
      <alignment horizontal="right" wrapText="1"/>
    </xf>
    <xf numFmtId="0" fontId="1226" fillId="0" borderId="0" xfId="0" applyFont="1" applyAlignment="1">
      <alignment horizontal="left" wrapText="1"/>
    </xf>
    <xf numFmtId="165" fontId="1227" fillId="0" borderId="0" xfId="0" applyNumberFormat="1" applyFont="1" applyAlignment="1">
      <alignment horizontal="right" wrapText="1"/>
    </xf>
    <xf numFmtId="0" fontId="1228" fillId="0" borderId="0" xfId="0" applyFont="1" applyAlignment="1">
      <alignment horizontal="left" wrapText="1"/>
    </xf>
    <xf numFmtId="165" fontId="1229" fillId="0" borderId="0" xfId="0" applyNumberFormat="1" applyFont="1" applyAlignment="1">
      <alignment horizontal="right" wrapText="1"/>
    </xf>
    <xf numFmtId="0" fontId="1230" fillId="0" borderId="0" xfId="0" applyFont="1" applyAlignment="1">
      <alignment horizontal="left" wrapText="1"/>
    </xf>
    <xf numFmtId="165" fontId="1231" fillId="0" borderId="0" xfId="0" applyNumberFormat="1" applyFont="1" applyAlignment="1">
      <alignment horizontal="right" wrapText="1"/>
    </xf>
    <xf numFmtId="0" fontId="1232" fillId="0" borderId="0" xfId="0" applyFont="1" applyAlignment="1">
      <alignment horizontal="left" wrapText="1"/>
    </xf>
    <xf numFmtId="165" fontId="1233" fillId="0" borderId="0" xfId="0" applyNumberFormat="1" applyFont="1" applyAlignment="1">
      <alignment horizontal="right" wrapText="1"/>
    </xf>
    <xf numFmtId="0" fontId="1234" fillId="0" borderId="0" xfId="0" applyFont="1" applyAlignment="1">
      <alignment horizontal="left" wrapText="1"/>
    </xf>
    <xf numFmtId="165" fontId="1235" fillId="0" borderId="0" xfId="0" applyNumberFormat="1" applyFont="1" applyAlignment="1">
      <alignment horizontal="right" wrapText="1"/>
    </xf>
    <xf numFmtId="0" fontId="1236" fillId="0" borderId="0" xfId="0" applyFont="1" applyAlignment="1">
      <alignment horizontal="left" wrapText="1"/>
    </xf>
    <xf numFmtId="165" fontId="1237" fillId="0" borderId="0" xfId="0" applyNumberFormat="1" applyFont="1" applyAlignment="1">
      <alignment horizontal="right" wrapText="1"/>
    </xf>
    <xf numFmtId="0" fontId="1238" fillId="0" borderId="0" xfId="0" applyFont="1" applyAlignment="1">
      <alignment horizontal="left" wrapText="1"/>
    </xf>
    <xf numFmtId="165" fontId="1239" fillId="0" borderId="0" xfId="0" applyNumberFormat="1" applyFont="1" applyAlignment="1">
      <alignment horizontal="right" wrapText="1"/>
    </xf>
    <xf numFmtId="0" fontId="1240" fillId="0" borderId="0" xfId="0" applyFont="1" applyAlignment="1">
      <alignment horizontal="left" wrapText="1"/>
    </xf>
    <xf numFmtId="165" fontId="1241" fillId="0" borderId="0" xfId="0" applyNumberFormat="1" applyFont="1" applyAlignment="1">
      <alignment horizontal="right" wrapText="1"/>
    </xf>
    <xf numFmtId="0" fontId="1242" fillId="0" borderId="0" xfId="0" applyFont="1" applyAlignment="1">
      <alignment horizontal="left" wrapText="1"/>
    </xf>
    <xf numFmtId="165" fontId="1243" fillId="0" borderId="0" xfId="0" applyNumberFormat="1" applyFont="1" applyAlignment="1">
      <alignment horizontal="right" wrapText="1"/>
    </xf>
    <xf numFmtId="0" fontId="1244" fillId="0" borderId="0" xfId="0" applyFont="1" applyAlignment="1">
      <alignment horizontal="left" wrapText="1"/>
    </xf>
    <xf numFmtId="165" fontId="1245" fillId="0" borderId="0" xfId="0" applyNumberFormat="1" applyFont="1" applyAlignment="1">
      <alignment horizontal="right" wrapText="1"/>
    </xf>
    <xf numFmtId="0" fontId="1246" fillId="0" borderId="0" xfId="0" applyFont="1" applyAlignment="1">
      <alignment horizontal="left" wrapText="1"/>
    </xf>
    <xf numFmtId="165" fontId="1247" fillId="0" borderId="0" xfId="0" applyNumberFormat="1" applyFont="1" applyAlignment="1">
      <alignment horizontal="right" wrapText="1"/>
    </xf>
    <xf numFmtId="0" fontId="1248" fillId="0" borderId="0" xfId="0" applyFont="1" applyAlignment="1">
      <alignment horizontal="left" wrapText="1"/>
    </xf>
    <xf numFmtId="165" fontId="1249" fillId="0" borderId="0" xfId="0" applyNumberFormat="1" applyFont="1" applyAlignment="1">
      <alignment horizontal="right" wrapText="1"/>
    </xf>
    <xf numFmtId="0" fontId="1250" fillId="0" borderId="0" xfId="0" applyFont="1" applyAlignment="1">
      <alignment horizontal="left" wrapText="1"/>
    </xf>
    <xf numFmtId="165" fontId="1251" fillId="0" borderId="0" xfId="0" applyNumberFormat="1" applyFont="1" applyAlignment="1">
      <alignment horizontal="right" wrapText="1"/>
    </xf>
    <xf numFmtId="0" fontId="1252" fillId="0" borderId="0" xfId="0" applyFont="1" applyAlignment="1">
      <alignment horizontal="left" wrapText="1"/>
    </xf>
    <xf numFmtId="165" fontId="1253" fillId="0" borderId="0" xfId="0" applyNumberFormat="1" applyFont="1" applyAlignment="1">
      <alignment horizontal="right" wrapText="1"/>
    </xf>
    <xf numFmtId="0" fontId="1254" fillId="0" borderId="0" xfId="0" applyFont="1" applyAlignment="1">
      <alignment horizontal="left" wrapText="1"/>
    </xf>
    <xf numFmtId="165" fontId="1255" fillId="0" borderId="0" xfId="0" applyNumberFormat="1" applyFont="1" applyAlignment="1">
      <alignment horizontal="right" wrapText="1"/>
    </xf>
    <xf numFmtId="0" fontId="1256" fillId="0" borderId="0" xfId="0" applyFont="1" applyAlignment="1">
      <alignment horizontal="left" wrapText="1"/>
    </xf>
    <xf numFmtId="165" fontId="1257" fillId="0" borderId="0" xfId="0" applyNumberFormat="1" applyFont="1" applyAlignment="1">
      <alignment horizontal="right" wrapText="1"/>
    </xf>
    <xf numFmtId="0" fontId="1258" fillId="0" borderId="0" xfId="0" applyFont="1" applyAlignment="1">
      <alignment horizontal="left" wrapText="1"/>
    </xf>
    <xf numFmtId="165" fontId="1259" fillId="0" borderId="0" xfId="0" applyNumberFormat="1" applyFont="1" applyAlignment="1">
      <alignment horizontal="right" wrapText="1"/>
    </xf>
    <xf numFmtId="0" fontId="1260" fillId="0" borderId="0" xfId="0" applyFont="1" applyAlignment="1">
      <alignment horizontal="left" wrapText="1"/>
    </xf>
    <xf numFmtId="165" fontId="1261" fillId="0" borderId="0" xfId="0" applyNumberFormat="1" applyFont="1" applyAlignment="1">
      <alignment horizontal="right" wrapText="1"/>
    </xf>
    <xf numFmtId="0" fontId="1262" fillId="0" borderId="0" xfId="0" applyFont="1" applyAlignment="1">
      <alignment horizontal="left" wrapText="1"/>
    </xf>
    <xf numFmtId="165" fontId="1263" fillId="0" borderId="0" xfId="0" applyNumberFormat="1" applyFont="1" applyAlignment="1">
      <alignment horizontal="right" wrapText="1"/>
    </xf>
    <xf numFmtId="0" fontId="1264" fillId="0" borderId="0" xfId="0" applyFont="1" applyAlignment="1">
      <alignment horizontal="left" wrapText="1"/>
    </xf>
    <xf numFmtId="165" fontId="1265" fillId="0" borderId="0" xfId="0" applyNumberFormat="1" applyFont="1" applyAlignment="1">
      <alignment horizontal="right" wrapText="1"/>
    </xf>
    <xf numFmtId="0" fontId="1266" fillId="0" borderId="0" xfId="0" applyFont="1" applyAlignment="1">
      <alignment horizontal="left" wrapText="1"/>
    </xf>
    <xf numFmtId="165" fontId="1267" fillId="0" borderId="0" xfId="0" applyNumberFormat="1" applyFont="1" applyAlignment="1">
      <alignment horizontal="right" wrapText="1"/>
    </xf>
    <xf numFmtId="0" fontId="1268" fillId="0" borderId="0" xfId="0" applyFont="1" applyAlignment="1">
      <alignment horizontal="left" wrapText="1"/>
    </xf>
    <xf numFmtId="165" fontId="1269" fillId="0" borderId="0" xfId="0" applyNumberFormat="1" applyFont="1" applyAlignment="1">
      <alignment horizontal="right" wrapText="1"/>
    </xf>
    <xf numFmtId="0" fontId="1270" fillId="0" borderId="0" xfId="0" applyFont="1" applyAlignment="1">
      <alignment horizontal="left" wrapText="1"/>
    </xf>
    <xf numFmtId="165" fontId="1271" fillId="0" borderId="0" xfId="0" applyNumberFormat="1" applyFont="1" applyAlignment="1">
      <alignment horizontal="right" wrapText="1"/>
    </xf>
    <xf numFmtId="0" fontId="1272" fillId="0" borderId="0" xfId="0" applyFont="1" applyAlignment="1">
      <alignment horizontal="left" wrapText="1"/>
    </xf>
    <xf numFmtId="165" fontId="1273" fillId="0" borderId="0" xfId="0" applyNumberFormat="1" applyFont="1" applyAlignment="1">
      <alignment horizontal="right" wrapText="1"/>
    </xf>
    <xf numFmtId="0" fontId="1274" fillId="0" borderId="0" xfId="0" applyFont="1" applyAlignment="1">
      <alignment horizontal="left" wrapText="1"/>
    </xf>
    <xf numFmtId="165" fontId="1275" fillId="0" borderId="0" xfId="0" applyNumberFormat="1" applyFont="1" applyAlignment="1">
      <alignment horizontal="right" wrapText="1"/>
    </xf>
    <xf numFmtId="0" fontId="1276" fillId="0" borderId="0" xfId="0" applyFont="1" applyAlignment="1">
      <alignment horizontal="left" wrapText="1"/>
    </xf>
    <xf numFmtId="165" fontId="1277" fillId="0" borderId="0" xfId="0" applyNumberFormat="1" applyFont="1" applyAlignment="1">
      <alignment horizontal="right" wrapText="1"/>
    </xf>
    <xf numFmtId="0" fontId="1278" fillId="0" borderId="0" xfId="0" applyFont="1" applyAlignment="1">
      <alignment horizontal="left" wrapText="1"/>
    </xf>
    <xf numFmtId="165" fontId="1279" fillId="0" borderId="0" xfId="0" applyNumberFormat="1" applyFont="1" applyAlignment="1">
      <alignment horizontal="right" wrapText="1"/>
    </xf>
    <xf numFmtId="0" fontId="1280" fillId="0" borderId="0" xfId="0" applyFont="1" applyAlignment="1">
      <alignment horizontal="left" wrapText="1"/>
    </xf>
    <xf numFmtId="165" fontId="1281" fillId="0" borderId="0" xfId="0" applyNumberFormat="1" applyFont="1" applyAlignment="1">
      <alignment horizontal="right" wrapText="1"/>
    </xf>
    <xf numFmtId="0" fontId="1282" fillId="0" borderId="0" xfId="0" applyFont="1" applyAlignment="1">
      <alignment horizontal="left" wrapText="1"/>
    </xf>
    <xf numFmtId="165" fontId="1283" fillId="0" borderId="0" xfId="0" applyNumberFormat="1" applyFont="1" applyAlignment="1">
      <alignment horizontal="right" wrapText="1"/>
    </xf>
    <xf numFmtId="0" fontId="1284" fillId="0" borderId="0" xfId="0" applyFont="1" applyAlignment="1">
      <alignment horizontal="left" wrapText="1"/>
    </xf>
    <xf numFmtId="165" fontId="1285" fillId="0" borderId="0" xfId="0" applyNumberFormat="1" applyFont="1" applyAlignment="1">
      <alignment horizontal="right" wrapText="1"/>
    </xf>
    <xf numFmtId="0" fontId="1286" fillId="0" borderId="0" xfId="0" applyFont="1" applyAlignment="1">
      <alignment horizontal="left" wrapText="1"/>
    </xf>
    <xf numFmtId="165" fontId="1287" fillId="0" borderId="0" xfId="0" applyNumberFormat="1" applyFont="1" applyAlignment="1">
      <alignment horizontal="right" wrapText="1"/>
    </xf>
    <xf numFmtId="0" fontId="1288" fillId="0" borderId="0" xfId="0" applyFont="1" applyAlignment="1">
      <alignment horizontal="left" wrapText="1"/>
    </xf>
    <xf numFmtId="165" fontId="1289" fillId="0" borderId="0" xfId="0" applyNumberFormat="1" applyFont="1" applyAlignment="1">
      <alignment horizontal="right" wrapText="1"/>
    </xf>
    <xf numFmtId="0" fontId="1290" fillId="0" borderId="0" xfId="0" applyFont="1" applyAlignment="1">
      <alignment horizontal="left" wrapText="1"/>
    </xf>
    <xf numFmtId="165" fontId="1291" fillId="0" borderId="0" xfId="0" applyNumberFormat="1" applyFont="1" applyAlignment="1">
      <alignment horizontal="right" wrapText="1"/>
    </xf>
    <xf numFmtId="0" fontId="1292" fillId="0" borderId="0" xfId="0" applyFont="1" applyAlignment="1">
      <alignment horizontal="left" wrapText="1"/>
    </xf>
    <xf numFmtId="165" fontId="1293" fillId="0" borderId="0" xfId="0" applyNumberFormat="1" applyFont="1" applyAlignment="1">
      <alignment horizontal="right" wrapText="1"/>
    </xf>
    <xf numFmtId="0" fontId="1294" fillId="0" borderId="0" xfId="0" applyFont="1" applyAlignment="1">
      <alignment horizontal="left" wrapText="1"/>
    </xf>
    <xf numFmtId="165" fontId="1295" fillId="0" borderId="0" xfId="0" applyNumberFormat="1" applyFont="1" applyAlignment="1">
      <alignment horizontal="right" wrapText="1"/>
    </xf>
    <xf numFmtId="0" fontId="1296" fillId="0" borderId="0" xfId="0" applyFont="1" applyAlignment="1">
      <alignment horizontal="left" wrapText="1"/>
    </xf>
    <xf numFmtId="165" fontId="1297" fillId="0" borderId="0" xfId="0" applyNumberFormat="1" applyFont="1" applyAlignment="1">
      <alignment horizontal="right" wrapText="1"/>
    </xf>
    <xf numFmtId="0" fontId="1298" fillId="0" borderId="0" xfId="0" applyFont="1" applyAlignment="1">
      <alignment horizontal="left" wrapText="1"/>
    </xf>
    <xf numFmtId="165" fontId="1299" fillId="0" borderId="0" xfId="0" applyNumberFormat="1" applyFont="1" applyAlignment="1">
      <alignment horizontal="right" wrapText="1"/>
    </xf>
    <xf numFmtId="0" fontId="1300" fillId="0" borderId="0" xfId="0" applyFont="1" applyAlignment="1">
      <alignment horizontal="left" wrapText="1"/>
    </xf>
    <xf numFmtId="165" fontId="1301" fillId="0" borderId="0" xfId="0" applyNumberFormat="1" applyFont="1" applyAlignment="1">
      <alignment horizontal="right" wrapText="1"/>
    </xf>
    <xf numFmtId="0" fontId="1302" fillId="0" borderId="0" xfId="0" applyFont="1" applyAlignment="1">
      <alignment horizontal="left" wrapText="1"/>
    </xf>
    <xf numFmtId="165" fontId="1303" fillId="0" borderId="0" xfId="0" applyNumberFormat="1" applyFont="1" applyAlignment="1">
      <alignment horizontal="right" wrapText="1"/>
    </xf>
    <xf numFmtId="0" fontId="1304" fillId="0" borderId="0" xfId="0" applyFont="1" applyAlignment="1">
      <alignment horizontal="left" wrapText="1"/>
    </xf>
    <xf numFmtId="165" fontId="1305" fillId="0" borderId="0" xfId="0" applyNumberFormat="1" applyFont="1" applyAlignment="1">
      <alignment horizontal="right" wrapText="1"/>
    </xf>
    <xf numFmtId="0" fontId="1306" fillId="0" borderId="0" xfId="0" applyFont="1" applyAlignment="1">
      <alignment horizontal="left" wrapText="1"/>
    </xf>
    <xf numFmtId="165" fontId="1307" fillId="0" borderId="0" xfId="0" applyNumberFormat="1" applyFont="1" applyAlignment="1">
      <alignment horizontal="right" wrapText="1"/>
    </xf>
    <xf numFmtId="0" fontId="1308" fillId="0" borderId="0" xfId="0" applyFont="1" applyAlignment="1">
      <alignment horizontal="left" wrapText="1"/>
    </xf>
    <xf numFmtId="165" fontId="1309" fillId="0" borderId="0" xfId="0" applyNumberFormat="1" applyFont="1" applyAlignment="1">
      <alignment horizontal="right" wrapText="1"/>
    </xf>
    <xf numFmtId="0" fontId="1310" fillId="0" borderId="0" xfId="0" applyFont="1" applyAlignment="1">
      <alignment horizontal="left" wrapText="1"/>
    </xf>
    <xf numFmtId="165" fontId="1311" fillId="0" borderId="0" xfId="0" applyNumberFormat="1" applyFont="1" applyAlignment="1">
      <alignment horizontal="right" wrapText="1"/>
    </xf>
    <xf numFmtId="0" fontId="1312" fillId="0" borderId="0" xfId="0" applyFont="1" applyAlignment="1">
      <alignment horizontal="left" wrapText="1"/>
    </xf>
    <xf numFmtId="165" fontId="1313" fillId="0" borderId="0" xfId="0" applyNumberFormat="1" applyFont="1" applyAlignment="1">
      <alignment horizontal="right" wrapText="1"/>
    </xf>
    <xf numFmtId="0" fontId="1314" fillId="0" borderId="0" xfId="0" applyFont="1" applyAlignment="1">
      <alignment horizontal="left" wrapText="1"/>
    </xf>
    <xf numFmtId="165" fontId="1315" fillId="0" borderId="0" xfId="0" applyNumberFormat="1" applyFont="1" applyAlignment="1">
      <alignment horizontal="right" wrapText="1"/>
    </xf>
    <xf numFmtId="0" fontId="1316" fillId="0" borderId="0" xfId="0" applyFont="1" applyAlignment="1">
      <alignment horizontal="left" wrapText="1"/>
    </xf>
    <xf numFmtId="165" fontId="1317" fillId="0" borderId="0" xfId="0" applyNumberFormat="1" applyFont="1" applyAlignment="1">
      <alignment horizontal="right" wrapText="1"/>
    </xf>
    <xf numFmtId="0" fontId="1318" fillId="0" borderId="0" xfId="0" applyFont="1" applyAlignment="1">
      <alignment horizontal="left" wrapText="1"/>
    </xf>
    <xf numFmtId="165" fontId="1319" fillId="0" borderId="0" xfId="0" applyNumberFormat="1" applyFont="1" applyAlignment="1">
      <alignment horizontal="right" wrapText="1"/>
    </xf>
    <xf numFmtId="0" fontId="1320" fillId="0" borderId="0" xfId="0" applyFont="1" applyAlignment="1">
      <alignment horizontal="left" wrapText="1"/>
    </xf>
    <xf numFmtId="165" fontId="1321" fillId="0" borderId="0" xfId="0" applyNumberFormat="1" applyFont="1" applyAlignment="1">
      <alignment horizontal="right" wrapText="1"/>
    </xf>
    <xf numFmtId="0" fontId="1322" fillId="0" borderId="0" xfId="0" applyFont="1" applyAlignment="1">
      <alignment horizontal="left" wrapText="1"/>
    </xf>
    <xf numFmtId="165" fontId="1323" fillId="0" borderId="0" xfId="0" applyNumberFormat="1" applyFont="1" applyAlignment="1">
      <alignment horizontal="right" wrapText="1"/>
    </xf>
    <xf numFmtId="0" fontId="1324" fillId="0" borderId="0" xfId="0" applyFont="1" applyAlignment="1">
      <alignment horizontal="left" wrapText="1"/>
    </xf>
    <xf numFmtId="165" fontId="1325" fillId="0" borderId="0" xfId="0" applyNumberFormat="1" applyFont="1" applyAlignment="1">
      <alignment horizontal="right" wrapText="1"/>
    </xf>
    <xf numFmtId="0" fontId="1326" fillId="0" borderId="0" xfId="0" applyFont="1" applyAlignment="1">
      <alignment horizontal="left" wrapText="1"/>
    </xf>
    <xf numFmtId="165" fontId="1327" fillId="0" borderId="0" xfId="0" applyNumberFormat="1" applyFont="1" applyAlignment="1">
      <alignment horizontal="right" wrapText="1"/>
    </xf>
    <xf numFmtId="0" fontId="1328" fillId="0" borderId="0" xfId="0" applyFont="1" applyAlignment="1">
      <alignment horizontal="left" wrapText="1"/>
    </xf>
    <xf numFmtId="165" fontId="1329" fillId="0" borderId="0" xfId="0" applyNumberFormat="1" applyFont="1" applyAlignment="1">
      <alignment horizontal="right" wrapText="1"/>
    </xf>
    <xf numFmtId="0" fontId="1330" fillId="0" borderId="0" xfId="0" applyFont="1" applyAlignment="1">
      <alignment horizontal="left" wrapText="1"/>
    </xf>
    <xf numFmtId="165" fontId="1331" fillId="0" borderId="0" xfId="0" applyNumberFormat="1" applyFont="1" applyAlignment="1">
      <alignment horizontal="right" wrapText="1"/>
    </xf>
    <xf numFmtId="0" fontId="1332" fillId="0" borderId="0" xfId="0" applyFont="1" applyAlignment="1">
      <alignment horizontal="left" wrapText="1"/>
    </xf>
    <xf numFmtId="165" fontId="1333" fillId="0" borderId="0" xfId="0" applyNumberFormat="1" applyFont="1" applyAlignment="1">
      <alignment horizontal="right" wrapText="1"/>
    </xf>
    <xf numFmtId="0" fontId="1334" fillId="0" borderId="0" xfId="0" applyFont="1" applyAlignment="1">
      <alignment horizontal="left" wrapText="1"/>
    </xf>
    <xf numFmtId="165" fontId="1335" fillId="0" borderId="0" xfId="0" applyNumberFormat="1" applyFont="1" applyAlignment="1">
      <alignment horizontal="right" wrapText="1"/>
    </xf>
    <xf numFmtId="0" fontId="1336" fillId="0" borderId="0" xfId="0" applyFont="1" applyAlignment="1">
      <alignment horizontal="left" wrapText="1"/>
    </xf>
    <xf numFmtId="165" fontId="1337" fillId="0" borderId="0" xfId="0" applyNumberFormat="1" applyFont="1" applyAlignment="1">
      <alignment horizontal="right" wrapText="1"/>
    </xf>
    <xf numFmtId="0" fontId="1338" fillId="0" borderId="0" xfId="0" applyFont="1" applyAlignment="1">
      <alignment horizontal="left" wrapText="1"/>
    </xf>
    <xf numFmtId="165" fontId="1339" fillId="0" borderId="0" xfId="0" applyNumberFormat="1" applyFont="1" applyAlignment="1">
      <alignment horizontal="right" wrapText="1"/>
    </xf>
    <xf numFmtId="0" fontId="1340" fillId="0" borderId="0" xfId="0" applyFont="1" applyAlignment="1">
      <alignment horizontal="left" wrapText="1"/>
    </xf>
    <xf numFmtId="165" fontId="1341" fillId="0" borderId="0" xfId="0" applyNumberFormat="1" applyFont="1" applyAlignment="1">
      <alignment horizontal="right" wrapText="1"/>
    </xf>
    <xf numFmtId="0" fontId="1342" fillId="0" borderId="0" xfId="0" applyFont="1" applyAlignment="1">
      <alignment horizontal="left" wrapText="1"/>
    </xf>
    <xf numFmtId="165" fontId="1343" fillId="0" borderId="0" xfId="0" applyNumberFormat="1" applyFont="1" applyAlignment="1">
      <alignment horizontal="right" wrapText="1"/>
    </xf>
    <xf numFmtId="0" fontId="1344" fillId="0" borderId="0" xfId="0" applyFont="1" applyAlignment="1">
      <alignment horizontal="left" wrapText="1"/>
    </xf>
    <xf numFmtId="165" fontId="1345" fillId="0" borderId="0" xfId="0" applyNumberFormat="1" applyFont="1" applyAlignment="1">
      <alignment horizontal="right" wrapText="1"/>
    </xf>
    <xf numFmtId="0" fontId="1346" fillId="0" borderId="0" xfId="0" applyFont="1" applyAlignment="1">
      <alignment horizontal="left" wrapText="1"/>
    </xf>
    <xf numFmtId="165" fontId="1347" fillId="0" borderId="0" xfId="0" applyNumberFormat="1" applyFont="1" applyAlignment="1">
      <alignment horizontal="right" wrapText="1"/>
    </xf>
    <xf numFmtId="0" fontId="1348" fillId="0" borderId="0" xfId="0" applyFont="1" applyAlignment="1">
      <alignment horizontal="left" wrapText="1"/>
    </xf>
    <xf numFmtId="165" fontId="1349" fillId="0" borderId="0" xfId="0" applyNumberFormat="1" applyFont="1" applyAlignment="1">
      <alignment horizontal="right" wrapText="1"/>
    </xf>
    <xf numFmtId="0" fontId="1350" fillId="0" borderId="0" xfId="0" applyFont="1" applyAlignment="1">
      <alignment horizontal="left" wrapText="1"/>
    </xf>
    <xf numFmtId="165" fontId="1351" fillId="0" borderId="0" xfId="0" applyNumberFormat="1" applyFont="1" applyAlignment="1">
      <alignment horizontal="right" wrapText="1"/>
    </xf>
    <xf numFmtId="0" fontId="1352" fillId="0" borderId="0" xfId="0" applyFont="1" applyAlignment="1">
      <alignment horizontal="left" wrapText="1"/>
    </xf>
    <xf numFmtId="165" fontId="1353" fillId="0" borderId="0" xfId="0" applyNumberFormat="1" applyFont="1" applyAlignment="1">
      <alignment horizontal="right" wrapText="1"/>
    </xf>
    <xf numFmtId="0" fontId="1354" fillId="0" borderId="0" xfId="0" applyFont="1" applyAlignment="1">
      <alignment horizontal="left" wrapText="1"/>
    </xf>
    <xf numFmtId="165" fontId="1355" fillId="0" borderId="0" xfId="0" applyNumberFormat="1" applyFont="1" applyAlignment="1">
      <alignment horizontal="right" wrapText="1"/>
    </xf>
    <xf numFmtId="0" fontId="1356" fillId="0" borderId="0" xfId="0" applyFont="1" applyAlignment="1">
      <alignment horizontal="left" wrapText="1"/>
    </xf>
    <xf numFmtId="165" fontId="1357" fillId="0" borderId="0" xfId="0" applyNumberFormat="1" applyFont="1" applyAlignment="1">
      <alignment horizontal="right" wrapText="1"/>
    </xf>
    <xf numFmtId="0" fontId="1358" fillId="0" borderId="0" xfId="0" applyFont="1" applyAlignment="1">
      <alignment horizontal="left" wrapText="1"/>
    </xf>
    <xf numFmtId="165" fontId="1359" fillId="0" borderId="0" xfId="0" applyNumberFormat="1" applyFont="1" applyAlignment="1">
      <alignment horizontal="right" wrapText="1"/>
    </xf>
    <xf numFmtId="0" fontId="1360" fillId="0" borderId="0" xfId="0" applyFont="1" applyAlignment="1">
      <alignment horizontal="left" wrapText="1"/>
    </xf>
    <xf numFmtId="165" fontId="1361" fillId="0" borderId="0" xfId="0" applyNumberFormat="1" applyFont="1" applyAlignment="1">
      <alignment horizontal="right" wrapText="1"/>
    </xf>
    <xf numFmtId="0" fontId="1362" fillId="0" borderId="0" xfId="0" applyFont="1" applyAlignment="1">
      <alignment horizontal="left" wrapText="1"/>
    </xf>
    <xf numFmtId="165" fontId="1363" fillId="0" borderId="0" xfId="0" applyNumberFormat="1" applyFont="1" applyAlignment="1">
      <alignment horizontal="right" wrapText="1"/>
    </xf>
    <xf numFmtId="0" fontId="1364" fillId="0" borderId="0" xfId="0" applyFont="1" applyAlignment="1">
      <alignment horizontal="left" wrapText="1"/>
    </xf>
    <xf numFmtId="165" fontId="1365" fillId="0" borderId="0" xfId="0" applyNumberFormat="1" applyFont="1" applyAlignment="1">
      <alignment horizontal="right" wrapText="1"/>
    </xf>
    <xf numFmtId="0" fontId="1366" fillId="0" borderId="0" xfId="0" applyFont="1" applyAlignment="1">
      <alignment horizontal="left" wrapText="1"/>
    </xf>
    <xf numFmtId="165" fontId="1367" fillId="0" borderId="0" xfId="0" applyNumberFormat="1" applyFont="1" applyAlignment="1">
      <alignment horizontal="right" wrapText="1"/>
    </xf>
    <xf numFmtId="0" fontId="1368" fillId="0" borderId="0" xfId="0" applyFont="1" applyAlignment="1">
      <alignment horizontal="left" wrapText="1"/>
    </xf>
    <xf numFmtId="165" fontId="1369" fillId="0" borderId="0" xfId="0" applyNumberFormat="1" applyFont="1" applyAlignment="1">
      <alignment horizontal="right" wrapText="1"/>
    </xf>
    <xf numFmtId="0" fontId="1370" fillId="0" borderId="0" xfId="0" applyFont="1" applyAlignment="1">
      <alignment horizontal="left" wrapText="1"/>
    </xf>
    <xf numFmtId="165" fontId="1371" fillId="0" borderId="0" xfId="0" applyNumberFormat="1" applyFont="1" applyAlignment="1">
      <alignment horizontal="right" wrapText="1"/>
    </xf>
    <xf numFmtId="0" fontId="1372" fillId="0" borderId="0" xfId="0" applyFont="1" applyAlignment="1">
      <alignment horizontal="left" wrapText="1"/>
    </xf>
    <xf numFmtId="165" fontId="1373" fillId="0" borderId="0" xfId="0" applyNumberFormat="1" applyFont="1" applyAlignment="1">
      <alignment horizontal="right" wrapText="1"/>
    </xf>
    <xf numFmtId="0" fontId="1374" fillId="0" borderId="0" xfId="0" applyFont="1" applyAlignment="1">
      <alignment horizontal="left" wrapText="1"/>
    </xf>
    <xf numFmtId="165" fontId="1375" fillId="0" borderId="0" xfId="0" applyNumberFormat="1" applyFont="1" applyAlignment="1">
      <alignment horizontal="right" wrapText="1"/>
    </xf>
    <xf numFmtId="0" fontId="1376" fillId="0" borderId="0" xfId="0" applyFont="1" applyAlignment="1">
      <alignment horizontal="left" wrapText="1"/>
    </xf>
    <xf numFmtId="165" fontId="1377" fillId="0" borderId="0" xfId="0" applyNumberFormat="1" applyFont="1" applyAlignment="1">
      <alignment horizontal="right" wrapText="1"/>
    </xf>
    <xf numFmtId="0" fontId="1378" fillId="0" borderId="0" xfId="0" applyFont="1" applyAlignment="1">
      <alignment horizontal="left" wrapText="1"/>
    </xf>
    <xf numFmtId="165" fontId="1379" fillId="0" borderId="0" xfId="0" applyNumberFormat="1" applyFont="1" applyAlignment="1">
      <alignment horizontal="right" wrapText="1"/>
    </xf>
    <xf numFmtId="0" fontId="1380" fillId="0" borderId="0" xfId="0" applyFont="1" applyAlignment="1">
      <alignment horizontal="left" wrapText="1"/>
    </xf>
    <xf numFmtId="165" fontId="1381" fillId="0" borderId="0" xfId="0" applyNumberFormat="1" applyFont="1" applyAlignment="1">
      <alignment horizontal="right" wrapText="1"/>
    </xf>
    <xf numFmtId="0" fontId="1382" fillId="0" borderId="0" xfId="0" applyFont="1" applyAlignment="1">
      <alignment horizontal="left" wrapText="1"/>
    </xf>
    <xf numFmtId="165" fontId="1383" fillId="0" borderId="0" xfId="0" applyNumberFormat="1" applyFont="1" applyAlignment="1">
      <alignment horizontal="right" wrapText="1"/>
    </xf>
    <xf numFmtId="0" fontId="1384" fillId="0" borderId="0" xfId="0" applyFont="1" applyAlignment="1">
      <alignment horizontal="left" wrapText="1"/>
    </xf>
    <xf numFmtId="165" fontId="1385" fillId="0" borderId="0" xfId="0" applyNumberFormat="1" applyFont="1" applyAlignment="1">
      <alignment horizontal="right" wrapText="1"/>
    </xf>
    <xf numFmtId="0" fontId="1386" fillId="0" borderId="0" xfId="0" applyFont="1" applyAlignment="1">
      <alignment horizontal="left" wrapText="1"/>
    </xf>
    <xf numFmtId="165" fontId="1387" fillId="0" borderId="0" xfId="0" applyNumberFormat="1" applyFont="1" applyAlignment="1">
      <alignment horizontal="right" wrapText="1"/>
    </xf>
    <xf numFmtId="0" fontId="1388" fillId="0" borderId="0" xfId="0" applyFont="1" applyAlignment="1">
      <alignment horizontal="left" wrapText="1"/>
    </xf>
    <xf numFmtId="165" fontId="1389" fillId="0" borderId="0" xfId="0" applyNumberFormat="1" applyFont="1" applyAlignment="1">
      <alignment horizontal="right" wrapText="1"/>
    </xf>
    <xf numFmtId="0" fontId="1390" fillId="0" borderId="0" xfId="0" applyFont="1" applyAlignment="1">
      <alignment horizontal="left" wrapText="1"/>
    </xf>
    <xf numFmtId="165" fontId="1391" fillId="0" borderId="0" xfId="0" applyNumberFormat="1" applyFont="1" applyAlignment="1">
      <alignment horizontal="right" wrapText="1"/>
    </xf>
    <xf numFmtId="0" fontId="1392" fillId="0" borderId="0" xfId="0" applyFont="1" applyAlignment="1">
      <alignment horizontal="left" wrapText="1"/>
    </xf>
    <xf numFmtId="165" fontId="1393" fillId="0" borderId="0" xfId="0" applyNumberFormat="1" applyFont="1" applyAlignment="1">
      <alignment horizontal="right" wrapText="1"/>
    </xf>
    <xf numFmtId="0" fontId="1394" fillId="0" borderId="0" xfId="0" applyFont="1" applyAlignment="1">
      <alignment horizontal="left" wrapText="1"/>
    </xf>
    <xf numFmtId="165" fontId="1395" fillId="0" borderId="0" xfId="0" applyNumberFormat="1" applyFont="1" applyAlignment="1">
      <alignment horizontal="right" wrapText="1"/>
    </xf>
    <xf numFmtId="0" fontId="1396" fillId="0" borderId="0" xfId="0" applyFont="1" applyAlignment="1">
      <alignment horizontal="left" wrapText="1"/>
    </xf>
    <xf numFmtId="165" fontId="1397" fillId="0" borderId="0" xfId="0" applyNumberFormat="1" applyFont="1" applyAlignment="1">
      <alignment horizontal="right" wrapText="1"/>
    </xf>
    <xf numFmtId="0" fontId="1398" fillId="0" borderId="0" xfId="0" applyFont="1" applyAlignment="1">
      <alignment horizontal="left" wrapText="1"/>
    </xf>
    <xf numFmtId="165" fontId="1399" fillId="0" borderId="0" xfId="0" applyNumberFormat="1" applyFont="1" applyAlignment="1">
      <alignment horizontal="right" wrapText="1"/>
    </xf>
    <xf numFmtId="0" fontId="1400" fillId="0" borderId="0" xfId="0" applyFont="1" applyAlignment="1">
      <alignment horizontal="left" wrapText="1"/>
    </xf>
    <xf numFmtId="165" fontId="1401" fillId="0" borderId="0" xfId="0" applyNumberFormat="1" applyFont="1" applyAlignment="1">
      <alignment horizontal="right" wrapText="1"/>
    </xf>
    <xf numFmtId="0" fontId="1402" fillId="0" borderId="0" xfId="0" applyFont="1" applyAlignment="1">
      <alignment horizontal="left" wrapText="1"/>
    </xf>
    <xf numFmtId="165" fontId="1403" fillId="0" borderId="0" xfId="0" applyNumberFormat="1" applyFont="1" applyAlignment="1">
      <alignment horizontal="right" wrapText="1"/>
    </xf>
    <xf numFmtId="0" fontId="1404" fillId="0" borderId="0" xfId="0" applyFont="1" applyAlignment="1">
      <alignment horizontal="left" wrapText="1"/>
    </xf>
    <xf numFmtId="165" fontId="1405" fillId="0" borderId="0" xfId="0" applyNumberFormat="1" applyFont="1" applyAlignment="1">
      <alignment horizontal="right" wrapText="1"/>
    </xf>
    <xf numFmtId="0" fontId="1406" fillId="0" borderId="0" xfId="0" applyFont="1" applyAlignment="1">
      <alignment horizontal="left" wrapText="1"/>
    </xf>
    <xf numFmtId="165" fontId="1407" fillId="0" borderId="0" xfId="0" applyNumberFormat="1" applyFont="1" applyAlignment="1">
      <alignment horizontal="right" wrapText="1"/>
    </xf>
    <xf numFmtId="0" fontId="1408" fillId="0" borderId="0" xfId="0" applyFont="1" applyAlignment="1">
      <alignment horizontal="left" wrapText="1"/>
    </xf>
    <xf numFmtId="165" fontId="1409" fillId="0" borderId="0" xfId="0" applyNumberFormat="1" applyFont="1" applyAlignment="1">
      <alignment horizontal="right" wrapText="1"/>
    </xf>
    <xf numFmtId="0" fontId="1410" fillId="0" borderId="0" xfId="0" applyFont="1" applyAlignment="1">
      <alignment horizontal="left" wrapText="1"/>
    </xf>
    <xf numFmtId="165" fontId="1411" fillId="0" borderId="0" xfId="0" applyNumberFormat="1" applyFont="1" applyAlignment="1">
      <alignment horizontal="right" wrapText="1"/>
    </xf>
    <xf numFmtId="0" fontId="1412" fillId="0" borderId="0" xfId="0" applyFont="1" applyAlignment="1">
      <alignment horizontal="left" wrapText="1"/>
    </xf>
    <xf numFmtId="165" fontId="1413" fillId="0" borderId="0" xfId="0" applyNumberFormat="1" applyFont="1" applyAlignment="1">
      <alignment horizontal="right" wrapText="1"/>
    </xf>
    <xf numFmtId="0" fontId="1414" fillId="0" borderId="0" xfId="0" applyFont="1" applyAlignment="1">
      <alignment horizontal="left" wrapText="1"/>
    </xf>
    <xf numFmtId="165" fontId="1415" fillId="0" borderId="0" xfId="0" applyNumberFormat="1" applyFont="1" applyAlignment="1">
      <alignment horizontal="right" wrapText="1"/>
    </xf>
    <xf numFmtId="0" fontId="1416" fillId="0" borderId="0" xfId="0" applyFont="1" applyAlignment="1">
      <alignment horizontal="left" wrapText="1"/>
    </xf>
    <xf numFmtId="165" fontId="1417" fillId="0" borderId="0" xfId="0" applyNumberFormat="1" applyFont="1" applyAlignment="1">
      <alignment horizontal="right" wrapText="1"/>
    </xf>
    <xf numFmtId="0" fontId="1418" fillId="0" borderId="0" xfId="0" applyFont="1" applyAlignment="1">
      <alignment horizontal="left" wrapText="1"/>
    </xf>
    <xf numFmtId="165" fontId="1419" fillId="0" borderId="0" xfId="0" applyNumberFormat="1" applyFont="1" applyAlignment="1">
      <alignment horizontal="right" wrapText="1"/>
    </xf>
    <xf numFmtId="0" fontId="1420" fillId="0" borderId="0" xfId="0" applyFont="1" applyAlignment="1">
      <alignment horizontal="left" wrapText="1"/>
    </xf>
    <xf numFmtId="165" fontId="1421" fillId="0" borderId="0" xfId="0" applyNumberFormat="1" applyFont="1" applyAlignment="1">
      <alignment horizontal="right" wrapText="1"/>
    </xf>
    <xf numFmtId="0" fontId="1422" fillId="0" borderId="0" xfId="0" applyFont="1" applyAlignment="1">
      <alignment horizontal="left" wrapText="1"/>
    </xf>
    <xf numFmtId="165" fontId="1423" fillId="0" borderId="0" xfId="0" applyNumberFormat="1" applyFont="1" applyAlignment="1">
      <alignment horizontal="right" wrapText="1"/>
    </xf>
    <xf numFmtId="0" fontId="1424" fillId="0" borderId="0" xfId="0" applyFont="1" applyAlignment="1">
      <alignment horizontal="left" wrapText="1"/>
    </xf>
    <xf numFmtId="165" fontId="1425" fillId="0" borderId="0" xfId="0" applyNumberFormat="1" applyFont="1" applyAlignment="1">
      <alignment horizontal="right" wrapText="1"/>
    </xf>
    <xf numFmtId="0" fontId="1426" fillId="0" borderId="0" xfId="0" applyFont="1" applyAlignment="1">
      <alignment horizontal="left" wrapText="1"/>
    </xf>
    <xf numFmtId="165" fontId="1427" fillId="0" borderId="0" xfId="0" applyNumberFormat="1" applyFont="1" applyAlignment="1">
      <alignment horizontal="right" wrapText="1"/>
    </xf>
    <xf numFmtId="0" fontId="1428" fillId="0" borderId="0" xfId="0" applyFont="1" applyAlignment="1">
      <alignment horizontal="left" wrapText="1"/>
    </xf>
    <xf numFmtId="165" fontId="1429" fillId="0" borderId="0" xfId="0" applyNumberFormat="1" applyFont="1" applyAlignment="1">
      <alignment horizontal="right" wrapText="1"/>
    </xf>
    <xf numFmtId="0" fontId="1430" fillId="0" borderId="0" xfId="0" applyFont="1" applyAlignment="1">
      <alignment horizontal="left" wrapText="1"/>
    </xf>
    <xf numFmtId="165" fontId="1431" fillId="0" borderId="0" xfId="0" applyNumberFormat="1" applyFont="1" applyAlignment="1">
      <alignment horizontal="right" wrapText="1"/>
    </xf>
    <xf numFmtId="0" fontId="1432" fillId="0" borderId="0" xfId="0" applyFont="1" applyAlignment="1">
      <alignment horizontal="left" wrapText="1"/>
    </xf>
    <xf numFmtId="165" fontId="1433" fillId="0" borderId="0" xfId="0" applyNumberFormat="1" applyFont="1" applyAlignment="1">
      <alignment horizontal="right" wrapText="1"/>
    </xf>
    <xf numFmtId="0" fontId="1434" fillId="0" borderId="0" xfId="0" applyFont="1" applyAlignment="1">
      <alignment horizontal="left" wrapText="1"/>
    </xf>
    <xf numFmtId="165" fontId="1435" fillId="0" borderId="0" xfId="0" applyNumberFormat="1" applyFont="1" applyAlignment="1">
      <alignment horizontal="right" wrapText="1"/>
    </xf>
    <xf numFmtId="0" fontId="1436" fillId="0" borderId="0" xfId="0" applyFont="1" applyAlignment="1">
      <alignment horizontal="left" wrapText="1"/>
    </xf>
    <xf numFmtId="165" fontId="1437" fillId="0" borderId="0" xfId="0" applyNumberFormat="1" applyFont="1" applyAlignment="1">
      <alignment horizontal="right" wrapText="1"/>
    </xf>
    <xf numFmtId="0" fontId="1438" fillId="0" borderId="0" xfId="0" applyFont="1" applyAlignment="1">
      <alignment horizontal="left" wrapText="1"/>
    </xf>
    <xf numFmtId="165" fontId="1439" fillId="0" borderId="0" xfId="0" applyNumberFormat="1" applyFont="1" applyAlignment="1">
      <alignment horizontal="right" wrapText="1"/>
    </xf>
    <xf numFmtId="0" fontId="1440" fillId="0" borderId="0" xfId="0" applyFont="1" applyAlignment="1">
      <alignment horizontal="left" wrapText="1"/>
    </xf>
    <xf numFmtId="165" fontId="1441" fillId="0" borderId="0" xfId="0" applyNumberFormat="1" applyFont="1" applyAlignment="1">
      <alignment horizontal="right" wrapText="1"/>
    </xf>
    <xf numFmtId="0" fontId="1442" fillId="0" borderId="0" xfId="0" applyFont="1" applyAlignment="1">
      <alignment horizontal="left" wrapText="1"/>
    </xf>
    <xf numFmtId="165" fontId="1443" fillId="0" borderId="0" xfId="0" applyNumberFormat="1" applyFont="1" applyAlignment="1">
      <alignment horizontal="right" wrapText="1"/>
    </xf>
    <xf numFmtId="0" fontId="1444" fillId="0" borderId="0" xfId="0" applyFont="1" applyAlignment="1">
      <alignment horizontal="left" wrapText="1"/>
    </xf>
    <xf numFmtId="165" fontId="1445" fillId="0" borderId="0" xfId="0" applyNumberFormat="1" applyFont="1" applyAlignment="1">
      <alignment horizontal="right" wrapText="1"/>
    </xf>
    <xf numFmtId="0" fontId="1446" fillId="0" borderId="0" xfId="0" applyFont="1" applyAlignment="1">
      <alignment horizontal="left" wrapText="1"/>
    </xf>
    <xf numFmtId="165" fontId="1447" fillId="0" borderId="0" xfId="0" applyNumberFormat="1" applyFont="1" applyAlignment="1">
      <alignment horizontal="right" wrapText="1"/>
    </xf>
    <xf numFmtId="0" fontId="1448" fillId="0" borderId="0" xfId="0" applyFont="1" applyAlignment="1">
      <alignment horizontal="left" wrapText="1"/>
    </xf>
    <xf numFmtId="165" fontId="1449" fillId="0" borderId="0" xfId="0" applyNumberFormat="1" applyFont="1" applyAlignment="1">
      <alignment horizontal="right" wrapText="1"/>
    </xf>
    <xf numFmtId="0" fontId="1450" fillId="0" borderId="0" xfId="0" applyFont="1" applyAlignment="1">
      <alignment horizontal="left" wrapText="1"/>
    </xf>
    <xf numFmtId="165" fontId="1451" fillId="0" borderId="0" xfId="0" applyNumberFormat="1" applyFont="1" applyAlignment="1">
      <alignment horizontal="right" wrapText="1"/>
    </xf>
    <xf numFmtId="0" fontId="1452" fillId="0" borderId="0" xfId="0" applyFont="1" applyAlignment="1">
      <alignment horizontal="left" wrapText="1"/>
    </xf>
    <xf numFmtId="165" fontId="1453" fillId="0" borderId="0" xfId="0" applyNumberFormat="1" applyFont="1" applyAlignment="1">
      <alignment horizontal="right" wrapText="1"/>
    </xf>
    <xf numFmtId="0" fontId="1454" fillId="0" borderId="0" xfId="0" applyFont="1" applyAlignment="1">
      <alignment horizontal="left" wrapText="1"/>
    </xf>
    <xf numFmtId="165" fontId="1455" fillId="0" borderId="0" xfId="0" applyNumberFormat="1" applyFont="1" applyAlignment="1">
      <alignment horizontal="right" wrapText="1"/>
    </xf>
    <xf numFmtId="0" fontId="1456" fillId="0" borderId="0" xfId="0" applyFont="1" applyAlignment="1">
      <alignment horizontal="left" wrapText="1"/>
    </xf>
    <xf numFmtId="165" fontId="1457" fillId="0" borderId="0" xfId="0" applyNumberFormat="1" applyFont="1" applyAlignment="1">
      <alignment horizontal="right" wrapText="1"/>
    </xf>
    <xf numFmtId="0" fontId="1458" fillId="0" borderId="0" xfId="0" applyFont="1" applyAlignment="1">
      <alignment horizontal="left" wrapText="1"/>
    </xf>
    <xf numFmtId="165" fontId="1459" fillId="0" borderId="0" xfId="0" applyNumberFormat="1" applyFont="1" applyAlignment="1">
      <alignment horizontal="right" wrapText="1"/>
    </xf>
    <xf numFmtId="0" fontId="1460" fillId="0" borderId="0" xfId="0" applyFont="1" applyAlignment="1">
      <alignment horizontal="left" wrapText="1"/>
    </xf>
    <xf numFmtId="165" fontId="1461" fillId="0" borderId="0" xfId="0" applyNumberFormat="1" applyFont="1" applyAlignment="1">
      <alignment horizontal="right" wrapText="1"/>
    </xf>
    <xf numFmtId="0" fontId="1462" fillId="0" borderId="0" xfId="0" applyFont="1" applyAlignment="1">
      <alignment horizontal="left" wrapText="1"/>
    </xf>
    <xf numFmtId="165" fontId="1463" fillId="0" borderId="0" xfId="0" applyNumberFormat="1" applyFont="1" applyAlignment="1">
      <alignment horizontal="right" wrapText="1"/>
    </xf>
    <xf numFmtId="0" fontId="1464" fillId="0" borderId="0" xfId="0" applyFont="1" applyAlignment="1">
      <alignment horizontal="left" wrapText="1"/>
    </xf>
    <xf numFmtId="165" fontId="1465" fillId="0" borderId="0" xfId="0" applyNumberFormat="1" applyFont="1" applyAlignment="1">
      <alignment horizontal="right" wrapText="1"/>
    </xf>
    <xf numFmtId="0" fontId="1466" fillId="0" borderId="0" xfId="0" applyFont="1" applyAlignment="1">
      <alignment horizontal="left" wrapText="1"/>
    </xf>
    <xf numFmtId="165" fontId="1467" fillId="0" borderId="0" xfId="0" applyNumberFormat="1" applyFont="1" applyAlignment="1">
      <alignment horizontal="right" wrapText="1"/>
    </xf>
    <xf numFmtId="0" fontId="1468" fillId="0" borderId="0" xfId="0" applyFont="1" applyAlignment="1">
      <alignment horizontal="left" wrapText="1"/>
    </xf>
    <xf numFmtId="165" fontId="1469" fillId="0" borderId="0" xfId="0" applyNumberFormat="1" applyFont="1" applyAlignment="1">
      <alignment horizontal="right" wrapText="1"/>
    </xf>
    <xf numFmtId="0" fontId="1470" fillId="0" borderId="0" xfId="0" applyFont="1" applyAlignment="1">
      <alignment horizontal="left" wrapText="1"/>
    </xf>
    <xf numFmtId="165" fontId="1471" fillId="0" borderId="0" xfId="0" applyNumberFormat="1" applyFont="1" applyAlignment="1">
      <alignment horizontal="right" wrapText="1"/>
    </xf>
    <xf numFmtId="0" fontId="1472" fillId="0" borderId="0" xfId="0" applyFont="1" applyAlignment="1">
      <alignment horizontal="left" wrapText="1"/>
    </xf>
    <xf numFmtId="165" fontId="1473" fillId="0" borderId="0" xfId="0" applyNumberFormat="1" applyFont="1" applyAlignment="1">
      <alignment horizontal="right" wrapText="1"/>
    </xf>
    <xf numFmtId="0" fontId="1474" fillId="0" borderId="0" xfId="0" applyFont="1" applyAlignment="1">
      <alignment horizontal="left" wrapText="1"/>
    </xf>
    <xf numFmtId="165" fontId="1475" fillId="0" borderId="0" xfId="0" applyNumberFormat="1" applyFont="1" applyAlignment="1">
      <alignment horizontal="right" wrapText="1"/>
    </xf>
    <xf numFmtId="0" fontId="1476" fillId="0" borderId="0" xfId="0" applyFont="1" applyAlignment="1">
      <alignment horizontal="left" wrapText="1"/>
    </xf>
    <xf numFmtId="165" fontId="1477" fillId="0" borderId="0" xfId="0" applyNumberFormat="1" applyFont="1" applyAlignment="1">
      <alignment horizontal="right" wrapText="1"/>
    </xf>
    <xf numFmtId="0" fontId="1478" fillId="0" borderId="0" xfId="0" applyFont="1" applyAlignment="1">
      <alignment horizontal="left" wrapText="1"/>
    </xf>
    <xf numFmtId="165" fontId="1479" fillId="0" borderId="0" xfId="0" applyNumberFormat="1" applyFont="1" applyAlignment="1">
      <alignment horizontal="right" wrapText="1"/>
    </xf>
    <xf numFmtId="0" fontId="1480" fillId="0" borderId="0" xfId="0" applyFont="1" applyAlignment="1">
      <alignment horizontal="left" wrapText="1"/>
    </xf>
    <xf numFmtId="165" fontId="1481" fillId="0" borderId="0" xfId="0" applyNumberFormat="1" applyFont="1" applyAlignment="1">
      <alignment horizontal="right" wrapText="1"/>
    </xf>
    <xf numFmtId="0" fontId="1482" fillId="0" borderId="0" xfId="0" applyFont="1" applyAlignment="1">
      <alignment horizontal="left" wrapText="1"/>
    </xf>
    <xf numFmtId="165" fontId="1483" fillId="0" borderId="0" xfId="0" applyNumberFormat="1" applyFont="1" applyAlignment="1">
      <alignment horizontal="right" wrapText="1"/>
    </xf>
    <xf numFmtId="0" fontId="1484" fillId="0" borderId="0" xfId="0" applyFont="1" applyAlignment="1">
      <alignment horizontal="left" wrapText="1"/>
    </xf>
    <xf numFmtId="165" fontId="1485" fillId="0" borderId="0" xfId="0" applyNumberFormat="1" applyFont="1" applyAlignment="1">
      <alignment horizontal="right" wrapText="1"/>
    </xf>
    <xf numFmtId="0" fontId="1486" fillId="0" borderId="0" xfId="0" applyFont="1" applyAlignment="1">
      <alignment horizontal="left" wrapText="1"/>
    </xf>
    <xf numFmtId="165" fontId="1487" fillId="0" borderId="0" xfId="0" applyNumberFormat="1" applyFont="1" applyAlignment="1">
      <alignment horizontal="right" wrapText="1"/>
    </xf>
    <xf numFmtId="0" fontId="1488" fillId="0" borderId="0" xfId="0" applyFont="1" applyAlignment="1">
      <alignment horizontal="left" wrapText="1"/>
    </xf>
    <xf numFmtId="165" fontId="1489" fillId="0" borderId="0" xfId="0" applyNumberFormat="1" applyFont="1" applyAlignment="1">
      <alignment horizontal="right" wrapText="1"/>
    </xf>
    <xf numFmtId="0" fontId="1490" fillId="0" borderId="0" xfId="0" applyFont="1" applyAlignment="1">
      <alignment horizontal="left" wrapText="1"/>
    </xf>
    <xf numFmtId="165" fontId="1491" fillId="0" borderId="0" xfId="0" applyNumberFormat="1" applyFont="1" applyAlignment="1">
      <alignment horizontal="right" wrapText="1"/>
    </xf>
    <xf numFmtId="0" fontId="1492" fillId="0" borderId="0" xfId="0" applyFont="1" applyAlignment="1">
      <alignment horizontal="left" wrapText="1"/>
    </xf>
    <xf numFmtId="165" fontId="1493" fillId="0" borderId="0" xfId="0" applyNumberFormat="1" applyFont="1" applyAlignment="1">
      <alignment horizontal="right" wrapText="1"/>
    </xf>
    <xf numFmtId="0" fontId="1494" fillId="0" borderId="0" xfId="0" applyFont="1" applyAlignment="1">
      <alignment horizontal="left" wrapText="1"/>
    </xf>
    <xf numFmtId="165" fontId="1495" fillId="0" borderId="0" xfId="0" applyNumberFormat="1" applyFont="1" applyAlignment="1">
      <alignment horizontal="right" wrapText="1"/>
    </xf>
    <xf numFmtId="0" fontId="1496" fillId="0" borderId="0" xfId="0" applyFont="1" applyAlignment="1">
      <alignment horizontal="left" wrapText="1"/>
    </xf>
    <xf numFmtId="165" fontId="1497" fillId="0" borderId="0" xfId="0" applyNumberFormat="1" applyFont="1" applyAlignment="1">
      <alignment horizontal="right" wrapText="1"/>
    </xf>
    <xf numFmtId="0" fontId="1498" fillId="0" borderId="0" xfId="0" applyFont="1" applyAlignment="1">
      <alignment horizontal="left" wrapText="1"/>
    </xf>
    <xf numFmtId="165" fontId="1499" fillId="0" borderId="0" xfId="0" applyNumberFormat="1" applyFont="1" applyAlignment="1">
      <alignment horizontal="right" wrapText="1"/>
    </xf>
    <xf numFmtId="0" fontId="1500" fillId="0" borderId="0" xfId="0" applyFont="1" applyAlignment="1">
      <alignment horizontal="left" wrapText="1"/>
    </xf>
    <xf numFmtId="165" fontId="1501" fillId="0" borderId="0" xfId="0" applyNumberFormat="1" applyFont="1" applyAlignment="1">
      <alignment horizontal="right" wrapText="1"/>
    </xf>
    <xf numFmtId="0" fontId="1502" fillId="0" borderId="0" xfId="0" applyFont="1" applyAlignment="1">
      <alignment horizontal="left" wrapText="1"/>
    </xf>
    <xf numFmtId="165" fontId="1503" fillId="0" borderId="0" xfId="0" applyNumberFormat="1" applyFont="1" applyAlignment="1">
      <alignment horizontal="right" wrapText="1"/>
    </xf>
    <xf numFmtId="0" fontId="1504" fillId="0" borderId="0" xfId="0" applyFont="1" applyAlignment="1">
      <alignment horizontal="left" wrapText="1"/>
    </xf>
    <xf numFmtId="165" fontId="1505" fillId="0" borderId="0" xfId="0" applyNumberFormat="1" applyFont="1" applyAlignment="1">
      <alignment horizontal="right" wrapText="1"/>
    </xf>
    <xf numFmtId="0" fontId="1506" fillId="0" borderId="0" xfId="0" applyFont="1" applyAlignment="1">
      <alignment horizontal="left" wrapText="1"/>
    </xf>
    <xf numFmtId="165" fontId="1507" fillId="0" borderId="0" xfId="0" applyNumberFormat="1" applyFont="1" applyAlignment="1">
      <alignment horizontal="right" wrapText="1"/>
    </xf>
    <xf numFmtId="0" fontId="1508" fillId="0" borderId="0" xfId="0" applyFont="1" applyAlignment="1">
      <alignment horizontal="left" wrapText="1"/>
    </xf>
    <xf numFmtId="165" fontId="1509" fillId="0" borderId="0" xfId="0" applyNumberFormat="1" applyFont="1" applyAlignment="1">
      <alignment horizontal="right" wrapText="1"/>
    </xf>
    <xf numFmtId="0" fontId="1510" fillId="0" borderId="0" xfId="0" applyFont="1" applyAlignment="1">
      <alignment horizontal="left" wrapText="1"/>
    </xf>
    <xf numFmtId="165" fontId="1511" fillId="0" borderId="0" xfId="0" applyNumberFormat="1" applyFont="1" applyAlignment="1">
      <alignment horizontal="right" wrapText="1"/>
    </xf>
    <xf numFmtId="0" fontId="1512" fillId="0" borderId="0" xfId="0" applyFont="1" applyAlignment="1">
      <alignment horizontal="left" wrapText="1"/>
    </xf>
    <xf numFmtId="165" fontId="1513" fillId="0" borderId="0" xfId="0" applyNumberFormat="1" applyFont="1" applyAlignment="1">
      <alignment horizontal="right" wrapText="1"/>
    </xf>
    <xf numFmtId="0" fontId="1514" fillId="0" borderId="0" xfId="0" applyFont="1" applyAlignment="1">
      <alignment horizontal="left" wrapText="1"/>
    </xf>
    <xf numFmtId="165" fontId="1515" fillId="0" borderId="0" xfId="0" applyNumberFormat="1" applyFont="1" applyAlignment="1">
      <alignment horizontal="right" wrapText="1"/>
    </xf>
    <xf numFmtId="0" fontId="1516" fillId="0" borderId="0" xfId="0" applyFont="1" applyAlignment="1">
      <alignment horizontal="left" wrapText="1"/>
    </xf>
    <xf numFmtId="165" fontId="1517" fillId="0" borderId="0" xfId="0" applyNumberFormat="1" applyFont="1" applyAlignment="1">
      <alignment horizontal="right" wrapText="1"/>
    </xf>
    <xf numFmtId="0" fontId="1518" fillId="0" borderId="0" xfId="0" applyFont="1" applyAlignment="1">
      <alignment horizontal="left" wrapText="1"/>
    </xf>
    <xf numFmtId="165" fontId="1519" fillId="0" borderId="0" xfId="0" applyNumberFormat="1" applyFont="1" applyAlignment="1">
      <alignment horizontal="right" wrapText="1"/>
    </xf>
    <xf numFmtId="0" fontId="1520" fillId="0" borderId="0" xfId="0" applyFont="1" applyAlignment="1">
      <alignment horizontal="left" wrapText="1"/>
    </xf>
    <xf numFmtId="165" fontId="1521" fillId="0" borderId="0" xfId="0" applyNumberFormat="1" applyFont="1" applyAlignment="1">
      <alignment horizontal="right" wrapText="1"/>
    </xf>
    <xf numFmtId="0" fontId="1522" fillId="0" borderId="0" xfId="0" applyFont="1" applyAlignment="1">
      <alignment horizontal="left" wrapText="1"/>
    </xf>
    <xf numFmtId="165" fontId="1523" fillId="0" borderId="0" xfId="0" applyNumberFormat="1" applyFont="1" applyAlignment="1">
      <alignment horizontal="right" wrapText="1"/>
    </xf>
    <xf numFmtId="0" fontId="1524" fillId="0" borderId="0" xfId="0" applyFont="1" applyAlignment="1">
      <alignment horizontal="left" wrapText="1"/>
    </xf>
    <xf numFmtId="165" fontId="1525" fillId="0" borderId="0" xfId="0" applyNumberFormat="1" applyFont="1" applyAlignment="1">
      <alignment horizontal="right" wrapText="1"/>
    </xf>
    <xf numFmtId="0" fontId="1526" fillId="0" borderId="0" xfId="0" applyFont="1" applyAlignment="1">
      <alignment horizontal="left" wrapText="1"/>
    </xf>
    <xf numFmtId="165" fontId="1527" fillId="0" borderId="0" xfId="0" applyNumberFormat="1" applyFont="1" applyAlignment="1">
      <alignment horizontal="right" wrapText="1"/>
    </xf>
    <xf numFmtId="0" fontId="1528" fillId="0" borderId="0" xfId="0" applyFont="1" applyAlignment="1">
      <alignment horizontal="left" wrapText="1"/>
    </xf>
    <xf numFmtId="165" fontId="1529" fillId="0" borderId="0" xfId="0" applyNumberFormat="1" applyFont="1" applyAlignment="1">
      <alignment horizontal="right" wrapText="1"/>
    </xf>
    <xf numFmtId="0" fontId="1530" fillId="0" borderId="0" xfId="0" applyFont="1" applyAlignment="1">
      <alignment horizontal="left" wrapText="1"/>
    </xf>
    <xf numFmtId="165" fontId="1531" fillId="0" borderId="0" xfId="0" applyNumberFormat="1" applyFont="1" applyAlignment="1">
      <alignment horizontal="right" wrapText="1"/>
    </xf>
    <xf numFmtId="0" fontId="1532" fillId="0" borderId="0" xfId="0" applyFont="1" applyAlignment="1">
      <alignment horizontal="left" wrapText="1"/>
    </xf>
    <xf numFmtId="165" fontId="1533" fillId="0" borderId="0" xfId="0" applyNumberFormat="1" applyFont="1" applyAlignment="1">
      <alignment horizontal="right" wrapText="1"/>
    </xf>
    <xf numFmtId="0" fontId="1534" fillId="0" borderId="0" xfId="0" applyFont="1" applyAlignment="1">
      <alignment horizontal="left" wrapText="1"/>
    </xf>
    <xf numFmtId="165" fontId="1535" fillId="0" borderId="0" xfId="0" applyNumberFormat="1" applyFont="1" applyAlignment="1">
      <alignment horizontal="right" wrapText="1"/>
    </xf>
    <xf numFmtId="0" fontId="1536" fillId="0" borderId="0" xfId="0" applyFont="1" applyAlignment="1">
      <alignment horizontal="left" wrapText="1"/>
    </xf>
    <xf numFmtId="165" fontId="1537" fillId="0" borderId="0" xfId="0" applyNumberFormat="1" applyFont="1" applyAlignment="1">
      <alignment horizontal="right" wrapText="1"/>
    </xf>
    <xf numFmtId="0" fontId="1538" fillId="0" borderId="0" xfId="0" applyFont="1" applyAlignment="1">
      <alignment horizontal="left" wrapText="1"/>
    </xf>
    <xf numFmtId="165" fontId="1539" fillId="0" borderId="0" xfId="0" applyNumberFormat="1" applyFont="1" applyAlignment="1">
      <alignment horizontal="right" wrapText="1"/>
    </xf>
    <xf numFmtId="0" fontId="1540" fillId="0" borderId="0" xfId="0" applyFont="1" applyAlignment="1">
      <alignment horizontal="left" wrapText="1"/>
    </xf>
    <xf numFmtId="165" fontId="1541" fillId="0" borderId="0" xfId="0" applyNumberFormat="1" applyFont="1" applyAlignment="1">
      <alignment horizontal="right" wrapText="1"/>
    </xf>
    <xf numFmtId="0" fontId="1542" fillId="0" borderId="0" xfId="0" applyFont="1" applyAlignment="1">
      <alignment horizontal="left" wrapText="1"/>
    </xf>
    <xf numFmtId="165" fontId="1543" fillId="0" borderId="0" xfId="0" applyNumberFormat="1" applyFont="1" applyAlignment="1">
      <alignment horizontal="right" wrapText="1"/>
    </xf>
    <xf numFmtId="0" fontId="1544" fillId="0" borderId="0" xfId="0" applyFont="1" applyAlignment="1">
      <alignment horizontal="left" wrapText="1"/>
    </xf>
    <xf numFmtId="165" fontId="1545" fillId="0" borderId="0" xfId="0" applyNumberFormat="1" applyFont="1" applyAlignment="1">
      <alignment horizontal="right" wrapText="1"/>
    </xf>
    <xf numFmtId="0" fontId="1546" fillId="0" borderId="0" xfId="0" applyFont="1" applyAlignment="1">
      <alignment horizontal="left" wrapText="1"/>
    </xf>
    <xf numFmtId="165" fontId="1547" fillId="0" borderId="0" xfId="0" applyNumberFormat="1" applyFont="1" applyAlignment="1">
      <alignment horizontal="right" wrapText="1"/>
    </xf>
    <xf numFmtId="0" fontId="1548" fillId="0" borderId="0" xfId="0" applyFont="1" applyAlignment="1">
      <alignment horizontal="left" wrapText="1"/>
    </xf>
    <xf numFmtId="165" fontId="1549" fillId="0" borderId="0" xfId="0" applyNumberFormat="1" applyFont="1" applyAlignment="1">
      <alignment horizontal="right" wrapText="1"/>
    </xf>
    <xf numFmtId="0" fontId="1550" fillId="0" borderId="0" xfId="0" applyFont="1" applyAlignment="1">
      <alignment horizontal="left" wrapText="1"/>
    </xf>
    <xf numFmtId="165" fontId="1551" fillId="0" borderId="0" xfId="0" applyNumberFormat="1" applyFont="1" applyAlignment="1">
      <alignment horizontal="right" wrapText="1"/>
    </xf>
    <xf numFmtId="0" fontId="1552" fillId="0" borderId="0" xfId="0" applyFont="1" applyAlignment="1">
      <alignment horizontal="left" wrapText="1"/>
    </xf>
    <xf numFmtId="165" fontId="1553" fillId="0" borderId="0" xfId="0" applyNumberFormat="1" applyFont="1" applyAlignment="1">
      <alignment horizontal="right" wrapText="1"/>
    </xf>
    <xf numFmtId="0" fontId="1554" fillId="0" borderId="0" xfId="0" applyFont="1" applyAlignment="1">
      <alignment horizontal="left" wrapText="1"/>
    </xf>
    <xf numFmtId="165" fontId="1555" fillId="0" borderId="0" xfId="0" applyNumberFormat="1" applyFont="1" applyAlignment="1">
      <alignment horizontal="right" wrapText="1"/>
    </xf>
    <xf numFmtId="0" fontId="1556" fillId="0" borderId="0" xfId="0" applyFont="1" applyAlignment="1">
      <alignment horizontal="left" wrapText="1"/>
    </xf>
    <xf numFmtId="165" fontId="1557" fillId="0" borderId="0" xfId="0" applyNumberFormat="1" applyFont="1" applyAlignment="1">
      <alignment horizontal="right" wrapText="1"/>
    </xf>
    <xf numFmtId="0" fontId="1558" fillId="0" borderId="0" xfId="0" applyFont="1" applyAlignment="1">
      <alignment horizontal="left" wrapText="1"/>
    </xf>
    <xf numFmtId="165" fontId="1559" fillId="0" borderId="0" xfId="0" applyNumberFormat="1" applyFont="1" applyAlignment="1">
      <alignment horizontal="right" wrapText="1"/>
    </xf>
    <xf numFmtId="0" fontId="1560" fillId="0" borderId="0" xfId="0" applyFont="1" applyAlignment="1">
      <alignment horizontal="left" wrapText="1"/>
    </xf>
    <xf numFmtId="165" fontId="1561" fillId="0" borderId="0" xfId="0" applyNumberFormat="1" applyFont="1" applyAlignment="1">
      <alignment horizontal="right" wrapText="1"/>
    </xf>
    <xf numFmtId="0" fontId="1562" fillId="0" borderId="0" xfId="0" applyFont="1" applyAlignment="1">
      <alignment horizontal="left" wrapText="1"/>
    </xf>
    <xf numFmtId="165" fontId="1563" fillId="0" borderId="0" xfId="0" applyNumberFormat="1" applyFont="1" applyAlignment="1">
      <alignment horizontal="right" wrapText="1"/>
    </xf>
    <xf numFmtId="0" fontId="1564" fillId="0" borderId="0" xfId="0" applyFont="1" applyAlignment="1">
      <alignment horizontal="left" wrapText="1"/>
    </xf>
    <xf numFmtId="165" fontId="1565" fillId="0" borderId="0" xfId="0" applyNumberFormat="1" applyFont="1" applyAlignment="1">
      <alignment horizontal="right" wrapText="1"/>
    </xf>
    <xf numFmtId="0" fontId="1566" fillId="0" borderId="0" xfId="0" applyFont="1" applyAlignment="1">
      <alignment horizontal="left" wrapText="1"/>
    </xf>
    <xf numFmtId="165" fontId="1567" fillId="0" borderId="0" xfId="0" applyNumberFormat="1" applyFont="1" applyAlignment="1">
      <alignment horizontal="right" wrapText="1"/>
    </xf>
    <xf numFmtId="0" fontId="1568" fillId="0" borderId="0" xfId="0" applyFont="1" applyAlignment="1">
      <alignment horizontal="left" wrapText="1"/>
    </xf>
    <xf numFmtId="165" fontId="1569" fillId="0" borderId="0" xfId="0" applyNumberFormat="1" applyFont="1" applyAlignment="1">
      <alignment horizontal="right" wrapText="1"/>
    </xf>
    <xf numFmtId="0" fontId="1570" fillId="0" borderId="0" xfId="0" applyFont="1" applyAlignment="1">
      <alignment horizontal="left" wrapText="1"/>
    </xf>
    <xf numFmtId="165" fontId="1571" fillId="0" borderId="0" xfId="0" applyNumberFormat="1" applyFont="1" applyAlignment="1">
      <alignment horizontal="right" wrapText="1"/>
    </xf>
    <xf numFmtId="0" fontId="1572" fillId="0" borderId="0" xfId="0" applyFont="1" applyAlignment="1">
      <alignment horizontal="left" wrapText="1"/>
    </xf>
    <xf numFmtId="165" fontId="1573" fillId="0" borderId="0" xfId="0" applyNumberFormat="1" applyFont="1" applyAlignment="1">
      <alignment horizontal="right" wrapText="1"/>
    </xf>
    <xf numFmtId="0" fontId="1574" fillId="0" borderId="0" xfId="0" applyFont="1" applyAlignment="1">
      <alignment horizontal="left" wrapText="1"/>
    </xf>
    <xf numFmtId="165" fontId="1575" fillId="0" borderId="0" xfId="0" applyNumberFormat="1" applyFont="1" applyAlignment="1">
      <alignment horizontal="right" wrapText="1"/>
    </xf>
    <xf numFmtId="0" fontId="1576" fillId="0" borderId="0" xfId="0" applyFont="1" applyAlignment="1">
      <alignment horizontal="left" wrapText="1"/>
    </xf>
    <xf numFmtId="165" fontId="1577" fillId="0" borderId="0" xfId="0" applyNumberFormat="1" applyFont="1" applyAlignment="1">
      <alignment horizontal="right" wrapText="1"/>
    </xf>
    <xf numFmtId="0" fontId="1578" fillId="0" borderId="0" xfId="0" applyFont="1" applyAlignment="1">
      <alignment horizontal="left" wrapText="1"/>
    </xf>
    <xf numFmtId="165" fontId="1579" fillId="0" borderId="0" xfId="0" applyNumberFormat="1" applyFont="1" applyAlignment="1">
      <alignment horizontal="right" wrapText="1"/>
    </xf>
    <xf numFmtId="0" fontId="1580" fillId="0" borderId="0" xfId="0" applyFont="1" applyAlignment="1">
      <alignment horizontal="left" wrapText="1"/>
    </xf>
    <xf numFmtId="165" fontId="1581" fillId="0" borderId="0" xfId="0" applyNumberFormat="1" applyFont="1" applyAlignment="1">
      <alignment horizontal="right" wrapText="1"/>
    </xf>
    <xf numFmtId="0" fontId="1582" fillId="0" borderId="0" xfId="0" applyFont="1" applyAlignment="1">
      <alignment horizontal="left" wrapText="1"/>
    </xf>
    <xf numFmtId="165" fontId="1583" fillId="0" borderId="0" xfId="0" applyNumberFormat="1" applyFont="1" applyAlignment="1">
      <alignment horizontal="right" wrapText="1"/>
    </xf>
    <xf numFmtId="0" fontId="1584" fillId="0" borderId="0" xfId="0" applyFont="1" applyAlignment="1">
      <alignment horizontal="left" wrapText="1"/>
    </xf>
    <xf numFmtId="165" fontId="1585" fillId="0" borderId="0" xfId="0" applyNumberFormat="1" applyFont="1" applyAlignment="1">
      <alignment horizontal="right" wrapText="1"/>
    </xf>
    <xf numFmtId="0" fontId="1586" fillId="0" borderId="0" xfId="0" applyFont="1" applyAlignment="1">
      <alignment horizontal="left" wrapText="1"/>
    </xf>
    <xf numFmtId="165" fontId="1587" fillId="0" borderId="0" xfId="0" applyNumberFormat="1" applyFont="1" applyAlignment="1">
      <alignment horizontal="right" wrapText="1"/>
    </xf>
    <xf numFmtId="0" fontId="1588" fillId="0" borderId="0" xfId="0" applyFont="1" applyAlignment="1">
      <alignment horizontal="left" wrapText="1"/>
    </xf>
    <xf numFmtId="165" fontId="1589" fillId="0" borderId="0" xfId="0" applyNumberFormat="1" applyFont="1" applyAlignment="1">
      <alignment horizontal="right" wrapText="1"/>
    </xf>
    <xf numFmtId="0" fontId="1590" fillId="0" borderId="0" xfId="0" applyFont="1" applyAlignment="1">
      <alignment horizontal="left" wrapText="1"/>
    </xf>
    <xf numFmtId="165" fontId="1591" fillId="0" borderId="0" xfId="0" applyNumberFormat="1" applyFont="1" applyAlignment="1">
      <alignment horizontal="right" wrapText="1"/>
    </xf>
    <xf numFmtId="0" fontId="1592" fillId="0" borderId="0" xfId="0" applyFont="1" applyAlignment="1">
      <alignment horizontal="left" wrapText="1"/>
    </xf>
    <xf numFmtId="165" fontId="1593" fillId="0" borderId="0" xfId="0" applyNumberFormat="1" applyFont="1" applyAlignment="1">
      <alignment horizontal="right" wrapText="1"/>
    </xf>
    <xf numFmtId="0" fontId="1594" fillId="0" borderId="0" xfId="0" applyFont="1" applyAlignment="1">
      <alignment horizontal="left" wrapText="1"/>
    </xf>
    <xf numFmtId="165" fontId="1595" fillId="0" borderId="0" xfId="0" applyNumberFormat="1" applyFont="1" applyAlignment="1">
      <alignment horizontal="right" wrapText="1"/>
    </xf>
    <xf numFmtId="0" fontId="1596" fillId="0" borderId="0" xfId="0" applyFont="1" applyAlignment="1">
      <alignment horizontal="left" wrapText="1"/>
    </xf>
    <xf numFmtId="165" fontId="1597" fillId="0" borderId="0" xfId="0" applyNumberFormat="1" applyFont="1" applyAlignment="1">
      <alignment horizontal="right" wrapText="1"/>
    </xf>
    <xf numFmtId="0" fontId="1598" fillId="0" borderId="0" xfId="0" applyFont="1" applyAlignment="1">
      <alignment horizontal="left" wrapText="1"/>
    </xf>
    <xf numFmtId="165" fontId="1599" fillId="0" borderId="0" xfId="0" applyNumberFormat="1" applyFont="1" applyAlignment="1">
      <alignment horizontal="right" wrapText="1"/>
    </xf>
    <xf numFmtId="0" fontId="1600" fillId="0" borderId="0" xfId="0" applyFont="1" applyAlignment="1">
      <alignment horizontal="left" wrapText="1"/>
    </xf>
    <xf numFmtId="165" fontId="1601" fillId="0" borderId="0" xfId="0" applyNumberFormat="1" applyFont="1" applyAlignment="1">
      <alignment horizontal="right" wrapText="1"/>
    </xf>
    <xf numFmtId="0" fontId="1602" fillId="0" borderId="0" xfId="0" applyFont="1" applyAlignment="1">
      <alignment horizontal="left" wrapText="1"/>
    </xf>
    <xf numFmtId="165" fontId="1603" fillId="0" borderId="0" xfId="0" applyNumberFormat="1" applyFont="1" applyAlignment="1">
      <alignment horizontal="right" wrapText="1"/>
    </xf>
    <xf numFmtId="0" fontId="1604" fillId="0" borderId="0" xfId="0" applyFont="1" applyAlignment="1">
      <alignment horizontal="left" wrapText="1"/>
    </xf>
    <xf numFmtId="165" fontId="1605" fillId="0" borderId="0" xfId="0" applyNumberFormat="1" applyFont="1" applyAlignment="1">
      <alignment horizontal="right" wrapText="1"/>
    </xf>
    <xf numFmtId="0" fontId="1606" fillId="0" borderId="0" xfId="0" applyFont="1" applyAlignment="1">
      <alignment horizontal="left" wrapText="1"/>
    </xf>
    <xf numFmtId="165" fontId="1607" fillId="0" borderId="0" xfId="0" applyNumberFormat="1" applyFont="1" applyAlignment="1">
      <alignment horizontal="right" wrapText="1"/>
    </xf>
    <xf numFmtId="0" fontId="1608" fillId="0" borderId="0" xfId="0" applyFont="1" applyAlignment="1">
      <alignment horizontal="left" wrapText="1"/>
    </xf>
    <xf numFmtId="165" fontId="1609" fillId="0" borderId="0" xfId="0" applyNumberFormat="1" applyFont="1" applyAlignment="1">
      <alignment horizontal="right" wrapText="1"/>
    </xf>
    <xf numFmtId="0" fontId="1610" fillId="0" borderId="0" xfId="0" applyFont="1" applyAlignment="1">
      <alignment horizontal="left" wrapText="1"/>
    </xf>
    <xf numFmtId="165" fontId="1611" fillId="0" borderId="0" xfId="0" applyNumberFormat="1" applyFont="1" applyAlignment="1">
      <alignment horizontal="right" wrapText="1"/>
    </xf>
    <xf numFmtId="0" fontId="1612" fillId="0" borderId="0" xfId="0" applyFont="1" applyAlignment="1">
      <alignment horizontal="left" wrapText="1"/>
    </xf>
    <xf numFmtId="165" fontId="1613" fillId="0" borderId="0" xfId="0" applyNumberFormat="1" applyFont="1" applyAlignment="1">
      <alignment horizontal="right" wrapText="1"/>
    </xf>
    <xf numFmtId="0" fontId="1614" fillId="0" borderId="0" xfId="0" applyFont="1" applyAlignment="1">
      <alignment horizontal="left" wrapText="1"/>
    </xf>
    <xf numFmtId="165" fontId="1615" fillId="0" borderId="0" xfId="0" applyNumberFormat="1" applyFont="1" applyAlignment="1">
      <alignment horizontal="right" wrapText="1"/>
    </xf>
    <xf numFmtId="0" fontId="1616" fillId="0" borderId="0" xfId="0" applyFont="1" applyAlignment="1">
      <alignment horizontal="left" wrapText="1"/>
    </xf>
    <xf numFmtId="165" fontId="1617" fillId="0" borderId="0" xfId="0" applyNumberFormat="1" applyFont="1" applyAlignment="1">
      <alignment horizontal="right" wrapText="1"/>
    </xf>
    <xf numFmtId="0" fontId="1618" fillId="0" borderId="0" xfId="0" applyFont="1" applyAlignment="1">
      <alignment horizontal="left" wrapText="1"/>
    </xf>
    <xf numFmtId="165" fontId="1619" fillId="0" borderId="0" xfId="0" applyNumberFormat="1" applyFont="1" applyAlignment="1">
      <alignment horizontal="right" wrapText="1"/>
    </xf>
    <xf numFmtId="0" fontId="1620" fillId="0" borderId="0" xfId="0" applyFont="1" applyAlignment="1">
      <alignment horizontal="left" wrapText="1"/>
    </xf>
    <xf numFmtId="165" fontId="1621" fillId="0" borderId="0" xfId="0" applyNumberFormat="1" applyFont="1" applyAlignment="1">
      <alignment horizontal="right" wrapText="1"/>
    </xf>
    <xf numFmtId="0" fontId="1622" fillId="0" borderId="0" xfId="0" applyFont="1" applyAlignment="1">
      <alignment horizontal="left" wrapText="1"/>
    </xf>
    <xf numFmtId="165" fontId="1623" fillId="0" borderId="0" xfId="0" applyNumberFormat="1" applyFont="1" applyAlignment="1">
      <alignment horizontal="right" wrapText="1"/>
    </xf>
    <xf numFmtId="0" fontId="1624" fillId="0" borderId="0" xfId="0" applyFont="1" applyAlignment="1">
      <alignment horizontal="left" wrapText="1"/>
    </xf>
    <xf numFmtId="165" fontId="1625" fillId="0" borderId="0" xfId="0" applyNumberFormat="1" applyFont="1" applyAlignment="1">
      <alignment horizontal="right" wrapText="1"/>
    </xf>
    <xf numFmtId="0" fontId="1626" fillId="0" borderId="0" xfId="0" applyFont="1" applyAlignment="1">
      <alignment horizontal="left" wrapText="1"/>
    </xf>
    <xf numFmtId="165" fontId="1627" fillId="0" borderId="0" xfId="0" applyNumberFormat="1" applyFont="1" applyAlignment="1">
      <alignment horizontal="right" wrapText="1"/>
    </xf>
    <xf numFmtId="0" fontId="1628" fillId="0" borderId="0" xfId="0" applyFont="1" applyAlignment="1">
      <alignment horizontal="left" wrapText="1"/>
    </xf>
    <xf numFmtId="165" fontId="1629" fillId="0" borderId="0" xfId="0" applyNumberFormat="1" applyFont="1" applyAlignment="1">
      <alignment horizontal="right" wrapText="1"/>
    </xf>
    <xf numFmtId="0" fontId="1630" fillId="0" borderId="0" xfId="0" applyFont="1" applyAlignment="1">
      <alignment horizontal="left" wrapText="1"/>
    </xf>
    <xf numFmtId="165" fontId="1631" fillId="0" borderId="0" xfId="0" applyNumberFormat="1" applyFont="1" applyAlignment="1">
      <alignment horizontal="right" wrapText="1"/>
    </xf>
    <xf numFmtId="0" fontId="1632" fillId="0" borderId="0" xfId="0" applyFont="1" applyAlignment="1">
      <alignment horizontal="left" wrapText="1"/>
    </xf>
    <xf numFmtId="165" fontId="1633" fillId="0" borderId="0" xfId="0" applyNumberFormat="1" applyFont="1" applyAlignment="1">
      <alignment horizontal="right" wrapText="1"/>
    </xf>
    <xf numFmtId="0" fontId="1634" fillId="0" borderId="0" xfId="0" applyFont="1" applyAlignment="1">
      <alignment horizontal="left" wrapText="1"/>
    </xf>
    <xf numFmtId="165" fontId="1635" fillId="0" borderId="0" xfId="0" applyNumberFormat="1" applyFont="1" applyAlignment="1">
      <alignment horizontal="right" wrapText="1"/>
    </xf>
    <xf numFmtId="0" fontId="1636" fillId="0" borderId="0" xfId="0" applyFont="1" applyAlignment="1">
      <alignment horizontal="left" wrapText="1"/>
    </xf>
    <xf numFmtId="165" fontId="1637" fillId="0" borderId="0" xfId="0" applyNumberFormat="1" applyFont="1" applyAlignment="1">
      <alignment horizontal="right" wrapText="1"/>
    </xf>
    <xf numFmtId="0" fontId="1638" fillId="0" borderId="0" xfId="0" applyFont="1" applyAlignment="1">
      <alignment horizontal="left" wrapText="1"/>
    </xf>
    <xf numFmtId="165" fontId="1639" fillId="0" borderId="0" xfId="0" applyNumberFormat="1" applyFont="1" applyAlignment="1">
      <alignment horizontal="right" wrapText="1"/>
    </xf>
    <xf numFmtId="0" fontId="1640" fillId="0" borderId="0" xfId="0" applyFont="1" applyAlignment="1">
      <alignment horizontal="left" wrapText="1"/>
    </xf>
    <xf numFmtId="165" fontId="1641" fillId="0" borderId="0" xfId="0" applyNumberFormat="1" applyFont="1" applyAlignment="1">
      <alignment horizontal="right" wrapText="1"/>
    </xf>
    <xf numFmtId="0" fontId="1642" fillId="0" borderId="0" xfId="0" applyFont="1" applyAlignment="1">
      <alignment horizontal="left" wrapText="1"/>
    </xf>
    <xf numFmtId="165" fontId="1643" fillId="0" borderId="0" xfId="0" applyNumberFormat="1" applyFont="1" applyAlignment="1">
      <alignment horizontal="right" wrapText="1"/>
    </xf>
    <xf numFmtId="0" fontId="1644" fillId="0" borderId="0" xfId="0" applyFont="1" applyAlignment="1">
      <alignment horizontal="left" wrapText="1"/>
    </xf>
    <xf numFmtId="165" fontId="1645" fillId="0" borderId="0" xfId="0" applyNumberFormat="1" applyFont="1" applyAlignment="1">
      <alignment horizontal="right" wrapText="1"/>
    </xf>
    <xf numFmtId="0" fontId="1646" fillId="0" borderId="0" xfId="0" applyFont="1" applyAlignment="1">
      <alignment horizontal="left" wrapText="1"/>
    </xf>
    <xf numFmtId="165" fontId="1647" fillId="0" borderId="0" xfId="0" applyNumberFormat="1" applyFont="1" applyAlignment="1">
      <alignment horizontal="right" wrapText="1"/>
    </xf>
    <xf numFmtId="0" fontId="1648" fillId="0" borderId="0" xfId="0" applyFont="1" applyAlignment="1">
      <alignment horizontal="left" wrapText="1"/>
    </xf>
    <xf numFmtId="165" fontId="1649" fillId="0" borderId="0" xfId="0" applyNumberFormat="1" applyFont="1" applyAlignment="1">
      <alignment horizontal="right" wrapText="1"/>
    </xf>
    <xf numFmtId="0" fontId="1650" fillId="0" borderId="0" xfId="0" applyFont="1" applyAlignment="1">
      <alignment horizontal="left" wrapText="1"/>
    </xf>
    <xf numFmtId="165" fontId="1651" fillId="0" borderId="0" xfId="0" applyNumberFormat="1" applyFont="1" applyAlignment="1">
      <alignment horizontal="right" wrapText="1"/>
    </xf>
    <xf numFmtId="0" fontId="1652" fillId="0" borderId="0" xfId="0" applyFont="1" applyAlignment="1">
      <alignment horizontal="left" wrapText="1"/>
    </xf>
    <xf numFmtId="165" fontId="1653" fillId="0" borderId="0" xfId="0" applyNumberFormat="1" applyFont="1" applyAlignment="1">
      <alignment horizontal="right" wrapText="1"/>
    </xf>
    <xf numFmtId="0" fontId="1654" fillId="0" borderId="0" xfId="0" applyFont="1" applyAlignment="1">
      <alignment horizontal="left" wrapText="1"/>
    </xf>
    <xf numFmtId="165" fontId="1655" fillId="0" borderId="0" xfId="0" applyNumberFormat="1" applyFont="1" applyAlignment="1">
      <alignment horizontal="right" wrapText="1"/>
    </xf>
    <xf numFmtId="0" fontId="1656" fillId="0" borderId="0" xfId="0" applyFont="1" applyAlignment="1">
      <alignment horizontal="left" wrapText="1"/>
    </xf>
    <xf numFmtId="165" fontId="1657" fillId="0" borderId="0" xfId="0" applyNumberFormat="1" applyFont="1" applyAlignment="1">
      <alignment horizontal="right" wrapText="1"/>
    </xf>
    <xf numFmtId="0" fontId="1658" fillId="0" borderId="0" xfId="0" applyFont="1" applyAlignment="1">
      <alignment horizontal="left" wrapText="1"/>
    </xf>
    <xf numFmtId="165" fontId="1659" fillId="0" borderId="0" xfId="0" applyNumberFormat="1" applyFont="1" applyAlignment="1">
      <alignment horizontal="right" wrapText="1"/>
    </xf>
    <xf numFmtId="0" fontId="1660" fillId="0" borderId="0" xfId="0" applyFont="1" applyAlignment="1">
      <alignment horizontal="left" wrapText="1"/>
    </xf>
    <xf numFmtId="165" fontId="1661" fillId="0" borderId="0" xfId="0" applyNumberFormat="1" applyFont="1" applyAlignment="1">
      <alignment horizontal="right" wrapText="1"/>
    </xf>
    <xf numFmtId="0" fontId="1662" fillId="0" borderId="0" xfId="0" applyFont="1" applyAlignment="1">
      <alignment horizontal="left" wrapText="1"/>
    </xf>
    <xf numFmtId="165" fontId="1663" fillId="0" borderId="0" xfId="0" applyNumberFormat="1" applyFont="1" applyAlignment="1">
      <alignment horizontal="right" wrapText="1"/>
    </xf>
    <xf numFmtId="0" fontId="1664" fillId="0" borderId="0" xfId="0" applyFont="1" applyAlignment="1">
      <alignment horizontal="left" wrapText="1"/>
    </xf>
    <xf numFmtId="165" fontId="1665" fillId="0" borderId="0" xfId="0" applyNumberFormat="1" applyFont="1" applyAlignment="1">
      <alignment horizontal="right" wrapText="1"/>
    </xf>
    <xf numFmtId="0" fontId="1666" fillId="0" borderId="0" xfId="0" applyFont="1" applyAlignment="1">
      <alignment horizontal="left" wrapText="1"/>
    </xf>
    <xf numFmtId="165" fontId="1667" fillId="0" borderId="0" xfId="0" applyNumberFormat="1" applyFont="1" applyAlignment="1">
      <alignment horizontal="right" wrapText="1"/>
    </xf>
    <xf numFmtId="0" fontId="1668" fillId="0" borderId="0" xfId="0" applyFont="1" applyAlignment="1">
      <alignment horizontal="left" wrapText="1"/>
    </xf>
    <xf numFmtId="165" fontId="1669" fillId="0" borderId="0" xfId="0" applyNumberFormat="1" applyFont="1" applyAlignment="1">
      <alignment horizontal="right" wrapText="1"/>
    </xf>
    <xf numFmtId="0" fontId="1670" fillId="0" borderId="0" xfId="0" applyFont="1" applyAlignment="1">
      <alignment horizontal="left" wrapText="1"/>
    </xf>
    <xf numFmtId="165" fontId="1671" fillId="0" borderId="0" xfId="0" applyNumberFormat="1" applyFont="1" applyAlignment="1">
      <alignment horizontal="right" wrapText="1"/>
    </xf>
    <xf numFmtId="0" fontId="1672" fillId="0" borderId="0" xfId="0" applyFont="1" applyAlignment="1">
      <alignment horizontal="left" wrapText="1"/>
    </xf>
    <xf numFmtId="165" fontId="1673" fillId="0" borderId="0" xfId="0" applyNumberFormat="1" applyFont="1" applyAlignment="1">
      <alignment horizontal="right" wrapText="1"/>
    </xf>
    <xf numFmtId="0" fontId="1674" fillId="0" borderId="0" xfId="0" applyFont="1" applyAlignment="1">
      <alignment horizontal="left" wrapText="1"/>
    </xf>
    <xf numFmtId="165" fontId="1675" fillId="0" borderId="0" xfId="0" applyNumberFormat="1" applyFont="1" applyAlignment="1">
      <alignment horizontal="right" wrapText="1"/>
    </xf>
    <xf numFmtId="0" fontId="1676" fillId="0" borderId="0" xfId="0" applyFont="1" applyAlignment="1">
      <alignment horizontal="left" wrapText="1"/>
    </xf>
    <xf numFmtId="165" fontId="1677" fillId="0" borderId="0" xfId="0" applyNumberFormat="1" applyFont="1" applyAlignment="1">
      <alignment horizontal="right" wrapText="1"/>
    </xf>
    <xf numFmtId="0" fontId="1678" fillId="0" borderId="0" xfId="0" applyFont="1" applyAlignment="1">
      <alignment horizontal="left" wrapText="1"/>
    </xf>
    <xf numFmtId="165" fontId="1679" fillId="0" borderId="0" xfId="0" applyNumberFormat="1" applyFont="1" applyAlignment="1">
      <alignment horizontal="right" wrapText="1"/>
    </xf>
    <xf numFmtId="0" fontId="1680" fillId="0" borderId="0" xfId="0" applyFont="1" applyAlignment="1">
      <alignment horizontal="left" wrapText="1"/>
    </xf>
    <xf numFmtId="165" fontId="1681" fillId="0" borderId="0" xfId="0" applyNumberFormat="1" applyFont="1" applyAlignment="1">
      <alignment horizontal="right" wrapText="1"/>
    </xf>
    <xf numFmtId="0" fontId="1682" fillId="0" borderId="0" xfId="0" applyFont="1" applyAlignment="1">
      <alignment horizontal="left" wrapText="1"/>
    </xf>
    <xf numFmtId="165" fontId="1683" fillId="0" borderId="0" xfId="0" applyNumberFormat="1" applyFont="1" applyAlignment="1">
      <alignment horizontal="right" wrapText="1"/>
    </xf>
    <xf numFmtId="0" fontId="1684" fillId="0" borderId="0" xfId="0" applyFont="1" applyAlignment="1">
      <alignment horizontal="left" wrapText="1"/>
    </xf>
    <xf numFmtId="165" fontId="1685" fillId="0" borderId="0" xfId="0" applyNumberFormat="1" applyFont="1" applyAlignment="1">
      <alignment horizontal="right" wrapText="1"/>
    </xf>
    <xf numFmtId="0" fontId="1686" fillId="0" borderId="0" xfId="0" applyFont="1" applyAlignment="1">
      <alignment horizontal="left" wrapText="1"/>
    </xf>
    <xf numFmtId="165" fontId="1687" fillId="0" borderId="0" xfId="0" applyNumberFormat="1" applyFont="1" applyAlignment="1">
      <alignment horizontal="right" wrapText="1"/>
    </xf>
    <xf numFmtId="0" fontId="1688" fillId="0" borderId="0" xfId="0" applyFont="1" applyAlignment="1">
      <alignment horizontal="left" wrapText="1"/>
    </xf>
    <xf numFmtId="165" fontId="1689" fillId="0" borderId="0" xfId="0" applyNumberFormat="1" applyFont="1" applyAlignment="1">
      <alignment horizontal="right" wrapText="1"/>
    </xf>
    <xf numFmtId="0" fontId="1690" fillId="0" borderId="0" xfId="0" applyFont="1" applyAlignment="1">
      <alignment horizontal="left" wrapText="1"/>
    </xf>
    <xf numFmtId="165" fontId="1691" fillId="0" borderId="0" xfId="0" applyNumberFormat="1" applyFont="1" applyAlignment="1">
      <alignment horizontal="right" wrapText="1"/>
    </xf>
    <xf numFmtId="0" fontId="1692" fillId="0" borderId="0" xfId="0" applyFont="1" applyAlignment="1">
      <alignment horizontal="left" wrapText="1"/>
    </xf>
    <xf numFmtId="165" fontId="1693" fillId="0" borderId="0" xfId="0" applyNumberFormat="1" applyFont="1" applyAlignment="1">
      <alignment horizontal="right" wrapText="1"/>
    </xf>
    <xf numFmtId="0" fontId="1694" fillId="0" borderId="0" xfId="0" applyFont="1" applyAlignment="1">
      <alignment horizontal="left" wrapText="1"/>
    </xf>
    <xf numFmtId="165" fontId="1695" fillId="0" borderId="0" xfId="0" applyNumberFormat="1" applyFont="1" applyAlignment="1">
      <alignment horizontal="right" wrapText="1"/>
    </xf>
    <xf numFmtId="0" fontId="1696" fillId="0" borderId="0" xfId="0" applyFont="1" applyAlignment="1">
      <alignment horizontal="left" wrapText="1"/>
    </xf>
    <xf numFmtId="165" fontId="1697" fillId="0" borderId="0" xfId="0" applyNumberFormat="1" applyFont="1" applyAlignment="1">
      <alignment horizontal="right" wrapText="1"/>
    </xf>
    <xf numFmtId="0" fontId="1698" fillId="0" borderId="0" xfId="0" applyFont="1" applyAlignment="1">
      <alignment horizontal="left" wrapText="1"/>
    </xf>
    <xf numFmtId="165" fontId="1699" fillId="0" borderId="0" xfId="0" applyNumberFormat="1" applyFont="1" applyAlignment="1">
      <alignment horizontal="right" wrapText="1"/>
    </xf>
    <xf numFmtId="0" fontId="1700" fillId="0" borderId="0" xfId="0" applyFont="1" applyAlignment="1">
      <alignment horizontal="left" wrapText="1"/>
    </xf>
    <xf numFmtId="165" fontId="1701" fillId="0" borderId="0" xfId="0" applyNumberFormat="1" applyFont="1" applyAlignment="1">
      <alignment horizontal="right" wrapText="1"/>
    </xf>
    <xf numFmtId="0" fontId="1702" fillId="0" borderId="0" xfId="0" applyFont="1" applyAlignment="1">
      <alignment horizontal="left" wrapText="1"/>
    </xf>
    <xf numFmtId="165" fontId="1703" fillId="0" borderId="0" xfId="0" applyNumberFormat="1" applyFont="1" applyAlignment="1">
      <alignment horizontal="right" wrapText="1"/>
    </xf>
    <xf numFmtId="0" fontId="1704" fillId="0" borderId="0" xfId="0" applyFont="1" applyAlignment="1">
      <alignment horizontal="left" wrapText="1"/>
    </xf>
    <xf numFmtId="165" fontId="1705" fillId="0" borderId="0" xfId="0" applyNumberFormat="1" applyFont="1" applyAlignment="1">
      <alignment horizontal="right" wrapText="1"/>
    </xf>
    <xf numFmtId="0" fontId="1706" fillId="0" borderId="0" xfId="0" applyFont="1" applyAlignment="1">
      <alignment horizontal="left" wrapText="1"/>
    </xf>
    <xf numFmtId="165" fontId="1707" fillId="0" borderId="0" xfId="0" applyNumberFormat="1" applyFont="1" applyAlignment="1">
      <alignment horizontal="right" wrapText="1"/>
    </xf>
    <xf numFmtId="0" fontId="1708" fillId="0" borderId="0" xfId="0" applyFont="1" applyAlignment="1">
      <alignment horizontal="left" wrapText="1"/>
    </xf>
    <xf numFmtId="165" fontId="1709" fillId="0" borderId="0" xfId="0" applyNumberFormat="1" applyFont="1" applyAlignment="1">
      <alignment horizontal="right" wrapText="1"/>
    </xf>
    <xf numFmtId="0" fontId="1710" fillId="0" borderId="0" xfId="0" applyFont="1" applyAlignment="1">
      <alignment horizontal="left" wrapText="1"/>
    </xf>
    <xf numFmtId="165" fontId="1711" fillId="0" borderId="0" xfId="0" applyNumberFormat="1" applyFont="1" applyAlignment="1">
      <alignment horizontal="right" wrapText="1"/>
    </xf>
    <xf numFmtId="0" fontId="1712" fillId="0" borderId="0" xfId="0" applyFont="1" applyAlignment="1">
      <alignment horizontal="left" wrapText="1"/>
    </xf>
    <xf numFmtId="165" fontId="1713" fillId="0" borderId="0" xfId="0" applyNumberFormat="1" applyFont="1" applyAlignment="1">
      <alignment horizontal="right" wrapText="1"/>
    </xf>
    <xf numFmtId="0" fontId="1714" fillId="0" borderId="0" xfId="0" applyFont="1" applyAlignment="1">
      <alignment horizontal="left" wrapText="1"/>
    </xf>
    <xf numFmtId="165" fontId="1715" fillId="0" borderId="0" xfId="0" applyNumberFormat="1" applyFont="1" applyAlignment="1">
      <alignment horizontal="right" wrapText="1"/>
    </xf>
    <xf numFmtId="0" fontId="1716" fillId="0" borderId="0" xfId="0" applyFont="1" applyAlignment="1">
      <alignment horizontal="left" wrapText="1"/>
    </xf>
    <xf numFmtId="165" fontId="1717" fillId="0" borderId="0" xfId="0" applyNumberFormat="1" applyFont="1" applyAlignment="1">
      <alignment horizontal="right" wrapText="1"/>
    </xf>
    <xf numFmtId="0" fontId="1718" fillId="0" borderId="0" xfId="0" applyFont="1" applyAlignment="1">
      <alignment horizontal="left" wrapText="1"/>
    </xf>
    <xf numFmtId="165" fontId="1719" fillId="0" borderId="0" xfId="0" applyNumberFormat="1" applyFont="1" applyAlignment="1">
      <alignment horizontal="right" wrapText="1"/>
    </xf>
    <xf numFmtId="0" fontId="1720" fillId="0" borderId="0" xfId="0" applyFont="1" applyAlignment="1">
      <alignment horizontal="left" wrapText="1"/>
    </xf>
    <xf numFmtId="165" fontId="1721" fillId="0" borderId="0" xfId="0" applyNumberFormat="1" applyFont="1" applyAlignment="1">
      <alignment horizontal="right" wrapText="1"/>
    </xf>
    <xf numFmtId="0" fontId="1722" fillId="0" borderId="0" xfId="0" applyFont="1" applyAlignment="1">
      <alignment horizontal="left" wrapText="1"/>
    </xf>
    <xf numFmtId="165" fontId="1723" fillId="0" borderId="0" xfId="0" applyNumberFormat="1" applyFont="1" applyAlignment="1">
      <alignment horizontal="right" wrapText="1"/>
    </xf>
    <xf numFmtId="0" fontId="1724" fillId="0" borderId="0" xfId="0" applyFont="1" applyAlignment="1">
      <alignment horizontal="left" wrapText="1"/>
    </xf>
    <xf numFmtId="165" fontId="1725" fillId="0" borderId="0" xfId="0" applyNumberFormat="1" applyFont="1" applyAlignment="1">
      <alignment horizontal="right" wrapText="1"/>
    </xf>
    <xf numFmtId="0" fontId="1726" fillId="0" borderId="0" xfId="0" applyFont="1" applyAlignment="1">
      <alignment horizontal="left" wrapText="1"/>
    </xf>
    <xf numFmtId="165" fontId="1727" fillId="0" borderId="0" xfId="0" applyNumberFormat="1" applyFont="1" applyAlignment="1">
      <alignment horizontal="right" wrapText="1"/>
    </xf>
    <xf numFmtId="0" fontId="1728" fillId="0" borderId="0" xfId="0" applyFont="1" applyAlignment="1">
      <alignment horizontal="left" wrapText="1"/>
    </xf>
    <xf numFmtId="165" fontId="1729" fillId="0" borderId="0" xfId="0" applyNumberFormat="1" applyFont="1" applyAlignment="1">
      <alignment horizontal="right" wrapText="1"/>
    </xf>
    <xf numFmtId="0" fontId="1730" fillId="0" borderId="0" xfId="0" applyFont="1" applyAlignment="1">
      <alignment horizontal="left" wrapText="1"/>
    </xf>
    <xf numFmtId="165" fontId="1731" fillId="0" borderId="0" xfId="0" applyNumberFormat="1" applyFont="1" applyAlignment="1">
      <alignment horizontal="right" wrapText="1"/>
    </xf>
    <xf numFmtId="0" fontId="1732" fillId="0" borderId="0" xfId="0" applyFont="1" applyAlignment="1">
      <alignment horizontal="left" wrapText="1"/>
    </xf>
    <xf numFmtId="165" fontId="1733" fillId="0" borderId="0" xfId="0" applyNumberFormat="1" applyFont="1" applyAlignment="1">
      <alignment horizontal="right" wrapText="1"/>
    </xf>
    <xf numFmtId="0" fontId="1734" fillId="0" borderId="0" xfId="0" applyFont="1" applyAlignment="1">
      <alignment horizontal="left" wrapText="1"/>
    </xf>
    <xf numFmtId="165" fontId="1735" fillId="0" borderId="0" xfId="0" applyNumberFormat="1" applyFont="1" applyAlignment="1">
      <alignment horizontal="right" wrapText="1"/>
    </xf>
    <xf numFmtId="0" fontId="1736" fillId="0" borderId="0" xfId="0" applyFont="1" applyAlignment="1">
      <alignment horizontal="left" wrapText="1"/>
    </xf>
    <xf numFmtId="165" fontId="1737" fillId="0" borderId="0" xfId="0" applyNumberFormat="1" applyFont="1" applyAlignment="1">
      <alignment horizontal="right" wrapText="1"/>
    </xf>
    <xf numFmtId="0" fontId="1738" fillId="0" borderId="0" xfId="0" applyFont="1" applyAlignment="1">
      <alignment horizontal="left" wrapText="1"/>
    </xf>
    <xf numFmtId="165" fontId="1739" fillId="0" borderId="0" xfId="0" applyNumberFormat="1" applyFont="1" applyAlignment="1">
      <alignment horizontal="right" wrapText="1"/>
    </xf>
    <xf numFmtId="0" fontId="1740" fillId="0" borderId="0" xfId="0" applyFont="1" applyAlignment="1">
      <alignment horizontal="left" wrapText="1"/>
    </xf>
    <xf numFmtId="165" fontId="1741" fillId="0" borderId="0" xfId="0" applyNumberFormat="1" applyFont="1" applyAlignment="1">
      <alignment horizontal="right" wrapText="1"/>
    </xf>
    <xf numFmtId="0" fontId="1742" fillId="0" borderId="0" xfId="0" applyFont="1" applyAlignment="1">
      <alignment horizontal="left" wrapText="1"/>
    </xf>
    <xf numFmtId="165" fontId="1743" fillId="0" borderId="0" xfId="0" applyNumberFormat="1" applyFont="1" applyAlignment="1">
      <alignment horizontal="right" wrapText="1"/>
    </xf>
    <xf numFmtId="0" fontId="1744" fillId="0" borderId="0" xfId="0" applyFont="1" applyAlignment="1">
      <alignment horizontal="left" wrapText="1"/>
    </xf>
    <xf numFmtId="165" fontId="1745" fillId="0" borderId="0" xfId="0" applyNumberFormat="1" applyFont="1" applyAlignment="1">
      <alignment horizontal="right" wrapText="1"/>
    </xf>
    <xf numFmtId="0" fontId="1746" fillId="0" borderId="0" xfId="0" applyFont="1" applyAlignment="1">
      <alignment horizontal="left" wrapText="1"/>
    </xf>
    <xf numFmtId="165" fontId="1747" fillId="0" borderId="0" xfId="0" applyNumberFormat="1" applyFont="1" applyAlignment="1">
      <alignment horizontal="right" wrapText="1"/>
    </xf>
    <xf numFmtId="0" fontId="1748" fillId="0" borderId="0" xfId="0" applyFont="1" applyAlignment="1">
      <alignment horizontal="left" wrapText="1"/>
    </xf>
    <xf numFmtId="165" fontId="1749" fillId="0" borderId="0" xfId="0" applyNumberFormat="1" applyFont="1" applyAlignment="1">
      <alignment horizontal="right" wrapText="1"/>
    </xf>
    <xf numFmtId="0" fontId="1750" fillId="0" borderId="0" xfId="0" applyFont="1" applyAlignment="1">
      <alignment horizontal="left" wrapText="1"/>
    </xf>
    <xf numFmtId="165" fontId="1751" fillId="0" borderId="0" xfId="0" applyNumberFormat="1" applyFont="1" applyAlignment="1">
      <alignment horizontal="right" wrapText="1"/>
    </xf>
    <xf numFmtId="0" fontId="1752" fillId="0" borderId="0" xfId="0" applyFont="1" applyAlignment="1">
      <alignment horizontal="left" wrapText="1"/>
    </xf>
    <xf numFmtId="165" fontId="1753" fillId="0" borderId="0" xfId="0" applyNumberFormat="1" applyFont="1" applyAlignment="1">
      <alignment horizontal="right" wrapText="1"/>
    </xf>
    <xf numFmtId="0" fontId="1754" fillId="0" borderId="0" xfId="0" applyFont="1" applyAlignment="1">
      <alignment horizontal="left" wrapText="1"/>
    </xf>
    <xf numFmtId="165" fontId="1755" fillId="0" borderId="0" xfId="0" applyNumberFormat="1" applyFont="1" applyAlignment="1">
      <alignment horizontal="right" wrapText="1"/>
    </xf>
    <xf numFmtId="0" fontId="1756" fillId="0" borderId="0" xfId="0" applyFont="1" applyAlignment="1">
      <alignment horizontal="left" wrapText="1"/>
    </xf>
    <xf numFmtId="165" fontId="1757" fillId="0" borderId="0" xfId="0" applyNumberFormat="1" applyFont="1" applyAlignment="1">
      <alignment horizontal="right" wrapText="1"/>
    </xf>
    <xf numFmtId="0" fontId="1758" fillId="0" borderId="0" xfId="0" applyFont="1" applyAlignment="1">
      <alignment horizontal="left" vertical="center" wrapText="1"/>
    </xf>
    <xf numFmtId="0" fontId="1759" fillId="0" borderId="0" xfId="0" applyFont="1" applyAlignment="1">
      <alignment horizontal="left" vertical="center" wrapText="1"/>
    </xf>
    <xf numFmtId="0" fontId="1760" fillId="0" borderId="0" xfId="0" applyFont="1" applyAlignment="1">
      <alignment horizontal="left" vertical="center" wrapText="1"/>
    </xf>
    <xf numFmtId="0" fontId="1761" fillId="0" borderId="0" xfId="0" applyFont="1" applyAlignment="1">
      <alignment horizontal="left" vertical="center" wrapText="1"/>
    </xf>
    <xf numFmtId="0" fontId="1762" fillId="0" borderId="0" xfId="0" applyFont="1" applyAlignment="1">
      <alignment horizontal="left" vertical="center" wrapText="1"/>
    </xf>
    <xf numFmtId="0" fontId="1763" fillId="0" borderId="0" xfId="0" applyFont="1" applyAlignment="1">
      <alignment horizontal="left" vertical="center" wrapText="1"/>
    </xf>
    <xf numFmtId="0" fontId="1764" fillId="0" borderId="0" xfId="0" applyFont="1" applyAlignment="1">
      <alignment horizontal="left" vertical="center" wrapText="1"/>
    </xf>
    <xf numFmtId="0" fontId="1765" fillId="0" borderId="0" xfId="0" applyFont="1" applyAlignment="1">
      <alignment horizontal="left" vertical="center" wrapText="1"/>
    </xf>
    <xf numFmtId="0" fontId="1766" fillId="0" borderId="0" xfId="0" applyFont="1" applyAlignment="1">
      <alignment horizontal="left" vertical="center" wrapText="1"/>
    </xf>
    <xf numFmtId="0" fontId="1767" fillId="0" borderId="0" xfId="0" applyFont="1" applyAlignment="1">
      <alignment horizontal="left" vertical="center" wrapText="1"/>
    </xf>
    <xf numFmtId="0" fontId="1768" fillId="0" borderId="0" xfId="0" applyFont="1" applyAlignment="1">
      <alignment horizontal="left" vertical="center" wrapText="1"/>
    </xf>
    <xf numFmtId="0" fontId="1769" fillId="0" borderId="0" xfId="0" applyFont="1" applyAlignment="1">
      <alignment horizontal="left" vertical="center" wrapText="1"/>
    </xf>
    <xf numFmtId="0" fontId="1770" fillId="0" borderId="0" xfId="0" applyFont="1" applyAlignment="1">
      <alignment horizontal="left" vertical="center" wrapText="1"/>
    </xf>
    <xf numFmtId="0" fontId="1771" fillId="0" borderId="0" xfId="0" applyFont="1" applyAlignment="1">
      <alignment horizontal="left" vertical="center" wrapText="1"/>
    </xf>
    <xf numFmtId="0" fontId="1772" fillId="0" borderId="0" xfId="0" applyFont="1" applyAlignment="1">
      <alignment horizontal="left" vertical="center" wrapText="1"/>
    </xf>
    <xf numFmtId="0" fontId="1773" fillId="0" borderId="0" xfId="0" applyFont="1" applyAlignment="1">
      <alignment horizontal="left" vertical="center" wrapText="1"/>
    </xf>
    <xf numFmtId="0" fontId="1774" fillId="0" borderId="0" xfId="0" applyFont="1" applyAlignment="1">
      <alignment horizontal="left" vertical="center" wrapText="1"/>
    </xf>
    <xf numFmtId="0" fontId="1775" fillId="0" borderId="0" xfId="0" applyFont="1" applyAlignment="1">
      <alignment horizontal="left" vertical="center" wrapText="1"/>
    </xf>
    <xf numFmtId="0" fontId="1776" fillId="0" borderId="0" xfId="0" applyFont="1" applyAlignment="1">
      <alignment horizontal="left" vertical="center" wrapText="1"/>
    </xf>
    <xf numFmtId="0" fontId="1777" fillId="0" borderId="0" xfId="0" applyFont="1" applyAlignment="1">
      <alignment horizontal="left" vertical="center" wrapText="1"/>
    </xf>
    <xf numFmtId="0" fontId="1778" fillId="0" borderId="0" xfId="0" applyFont="1" applyAlignment="1">
      <alignment horizontal="left" vertical="center" wrapText="1"/>
    </xf>
    <xf numFmtId="0" fontId="1779" fillId="0" borderId="0" xfId="0" applyFont="1" applyAlignment="1">
      <alignment horizontal="left" vertical="center" wrapText="1"/>
    </xf>
    <xf numFmtId="0" fontId="1780" fillId="0" borderId="0" xfId="0" applyFont="1" applyAlignment="1">
      <alignment horizontal="left" vertical="center" wrapText="1"/>
    </xf>
    <xf numFmtId="0" fontId="1781" fillId="0" borderId="0" xfId="0" applyFont="1" applyAlignment="1">
      <alignment horizontal="left" vertical="center" wrapText="1"/>
    </xf>
    <xf numFmtId="0" fontId="1782" fillId="0" borderId="0" xfId="0" applyFont="1" applyAlignment="1">
      <alignment horizontal="left" vertical="center" wrapText="1"/>
    </xf>
    <xf numFmtId="0" fontId="1783" fillId="0" borderId="0" xfId="0" applyFont="1" applyAlignment="1">
      <alignment horizontal="left" vertical="center" wrapText="1"/>
    </xf>
    <xf numFmtId="0" fontId="1784" fillId="0" borderId="0" xfId="0" applyFont="1" applyAlignment="1">
      <alignment horizontal="left" vertical="center" wrapText="1"/>
    </xf>
    <xf numFmtId="0" fontId="1785" fillId="0" borderId="0" xfId="0" applyFont="1" applyAlignment="1">
      <alignment horizontal="left" vertical="center" wrapText="1"/>
    </xf>
    <xf numFmtId="0" fontId="1786" fillId="0" borderId="0" xfId="0" applyFont="1" applyAlignment="1">
      <alignment horizontal="left" vertical="center" wrapText="1"/>
    </xf>
    <xf numFmtId="0" fontId="1787" fillId="0" borderId="0" xfId="0" applyFont="1" applyAlignment="1">
      <alignment horizontal="left" vertical="center" wrapText="1"/>
    </xf>
    <xf numFmtId="0" fontId="1788" fillId="0" borderId="0" xfId="0" applyFont="1" applyAlignment="1">
      <alignment horizontal="left" vertical="center" wrapText="1"/>
    </xf>
    <xf numFmtId="0" fontId="1789" fillId="0" borderId="0" xfId="0" applyFont="1" applyAlignment="1">
      <alignment horizontal="left" vertical="center" wrapText="1"/>
    </xf>
    <xf numFmtId="0" fontId="1790" fillId="0" borderId="0" xfId="0" applyFont="1" applyAlignment="1">
      <alignment horizontal="left" vertical="center" wrapText="1"/>
    </xf>
    <xf numFmtId="0" fontId="1791" fillId="0" borderId="0" xfId="0" applyFont="1" applyAlignment="1">
      <alignment horizontal="left" vertical="center" wrapText="1"/>
    </xf>
    <xf numFmtId="0" fontId="1792" fillId="0" borderId="0" xfId="0" applyFont="1" applyAlignment="1">
      <alignment horizontal="left" vertical="center" wrapText="1"/>
    </xf>
    <xf numFmtId="0" fontId="1793" fillId="0" borderId="0" xfId="0" applyFont="1" applyAlignment="1">
      <alignment horizontal="left" vertical="center" wrapText="1"/>
    </xf>
    <xf numFmtId="0" fontId="1794" fillId="0" borderId="0" xfId="0" applyFont="1" applyAlignment="1">
      <alignment horizontal="left" vertical="center" wrapText="1"/>
    </xf>
    <xf numFmtId="0" fontId="13" fillId="0" borderId="0" xfId="0" applyFont="1" applyAlignment="1">
      <alignment horizontal="left" wrapText="1"/>
    </xf>
    <xf numFmtId="0" fontId="21" fillId="0" borderId="0" xfId="0" applyFont="1" applyAlignment="1">
      <alignment horizontal="left" wrapText="1"/>
    </xf>
    <xf numFmtId="0" fontId="0" fillId="0" borderId="0" xfId="0" applyFont="1" applyAlignment="1">
      <alignment horizontal="left" vertical="top" wrapText="1"/>
    </xf>
    <xf numFmtId="0" fontId="0" fillId="0" borderId="0" xfId="0" applyFont="1" applyAlignment="1">
      <alignment horizontal="left" wrapText="1"/>
    </xf>
    <xf numFmtId="0" fontId="1801" fillId="2" borderId="0" xfId="0" applyFont="1" applyFill="1" applyAlignment="1">
      <alignment horizontal="left" wrapText="1"/>
    </xf>
    <xf numFmtId="165" fontId="1802" fillId="2" borderId="0" xfId="0" applyNumberFormat="1" applyFont="1" applyFill="1" applyAlignment="1">
      <alignment horizontal="right" wrapText="1"/>
    </xf>
    <xf numFmtId="0" fontId="1802" fillId="0" borderId="0" xfId="0" applyFont="1" applyAlignment="1">
      <alignment horizontal="left" wrapText="1"/>
    </xf>
    <xf numFmtId="165" fontId="1802" fillId="0" borderId="0" xfId="0" applyNumberFormat="1" applyFont="1" applyAlignment="1">
      <alignment horizontal="right" wrapText="1"/>
    </xf>
    <xf numFmtId="0" fontId="1802" fillId="2" borderId="0" xfId="0" applyFont="1" applyFill="1" applyAlignment="1">
      <alignment horizontal="left" wrapText="1"/>
    </xf>
    <xf numFmtId="0" fontId="1803" fillId="2" borderId="0" xfId="0" applyFont="1" applyFill="1" applyAlignment="1">
      <alignment horizontal="left" wrapText="1"/>
    </xf>
    <xf numFmtId="0" fontId="1803" fillId="0" borderId="0" xfId="0" applyFont="1" applyAlignment="1">
      <alignment horizontal="left" wrapText="1"/>
    </xf>
    <xf numFmtId="0" fontId="0" fillId="2" borderId="0" xfId="0" applyFont="1" applyFill="1" applyAlignment="1">
      <alignment horizontal="left" wrapText="1"/>
    </xf>
    <xf numFmtId="165" fontId="0" fillId="0" borderId="0" xfId="0" applyNumberFormat="1"/>
  </cellXfs>
  <cellStyles count="12">
    <cellStyle name="Hyperlänk 2" xfId="6" xr:uid="{4AA49E60-E1B9-488E-AB93-E07808C7A31E}"/>
    <cellStyle name="Normal" xfId="0" builtinId="0"/>
    <cellStyle name="Normal 2" xfId="1" xr:uid="{00000000-0005-0000-0000-000002000000}"/>
    <cellStyle name="Normal 2 2" xfId="8" xr:uid="{8501984F-BD65-459F-90FB-C2D5AA92708F}"/>
    <cellStyle name="Normal 2 3" xfId="9" xr:uid="{75D6952B-BD98-4FC2-B7D0-9ECE4FE3B2D5}"/>
    <cellStyle name="Normal 3" xfId="4" xr:uid="{233703F4-A3A0-47E6-BCBF-C9029DEA9073}"/>
    <cellStyle name="Normal 3 2" xfId="10" xr:uid="{323EA064-B834-4555-82DB-C1E0597574F9}"/>
    <cellStyle name="Normal 4" xfId="5" xr:uid="{C64C8120-79D5-40D3-9A46-B1112DBFD3C7}"/>
    <cellStyle name="Normal 4 2" xfId="11" xr:uid="{FA200E23-C136-4E81-ADF6-E3ACA4433620}"/>
    <cellStyle name="Normal 5" xfId="7" xr:uid="{365909D8-7867-4945-9117-B7796D1A52DF}"/>
    <cellStyle name="Tusental (0)_083" xfId="2" xr:uid="{00000000-0005-0000-0000-000003000000}"/>
    <cellStyle name="Valuta (0)_083" xfId="3" xr:uid="{00000000-0005-0000-0000-000004000000}"/>
  </cellStyles>
  <dxfs count="4">
    <dxf>
      <font>
        <b/>
        <i val="0"/>
        <strike val="0"/>
        <condense val="0"/>
        <extend val="0"/>
        <outline val="0"/>
        <shadow val="0"/>
        <u val="none"/>
        <vertAlign val="baseline"/>
        <sz val="8"/>
        <color auto="1"/>
        <name val="Arial"/>
        <scheme val="none"/>
      </font>
      <numFmt numFmtId="165" formatCode="#\ ##0_2;\-#\ ##0_2;&quot;-&quot;_2;&quot;.&quot;_2"/>
      <alignment horizontal="right" vertical="bottom" textRotation="0" wrapText="1" indent="0" justifyLastLine="0" shrinkToFit="0" readingOrder="0"/>
    </dxf>
    <dxf>
      <font>
        <b/>
        <i val="0"/>
        <strike val="0"/>
        <condense val="0"/>
        <extend val="0"/>
        <outline val="0"/>
        <shadow val="0"/>
        <u val="none"/>
        <vertAlign val="baseline"/>
        <sz val="8"/>
        <color auto="1"/>
        <name val="Arial"/>
        <scheme val="none"/>
      </font>
      <alignment horizontal="left" vertical="bottom" textRotation="0" wrapText="1" indent="0" justifyLastLine="0" shrinkToFit="0" readingOrder="0"/>
    </dxf>
    <dxf>
      <font>
        <b/>
        <i val="0"/>
        <strike val="0"/>
        <condense val="0"/>
        <extend val="0"/>
        <outline val="0"/>
        <shadow val="0"/>
        <u val="none"/>
        <vertAlign val="baseline"/>
        <sz val="8"/>
        <color auto="1"/>
        <name val="Arial"/>
        <scheme val="none"/>
      </font>
      <alignment horizontal="left" vertical="bottom" textRotation="0" wrapText="1" indent="0" justifyLastLine="0" shrinkToFit="0" readingOrder="0"/>
    </dxf>
    <dxf>
      <font>
        <b/>
        <i val="0"/>
        <strike val="0"/>
        <condense val="0"/>
        <extend val="0"/>
        <outline val="0"/>
        <shadow val="0"/>
        <u val="none"/>
        <vertAlign val="baseline"/>
        <sz val="8"/>
        <color auto="1"/>
        <name val="Arial"/>
        <scheme val="none"/>
      </font>
      <alignment horizontal="left" vertical="bottom" textRotation="0" wrapText="1"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14500" cy="247650"/>
    <xdr:pic>
      <xdr:nvPicPr>
        <xdr:cNvPr id="2" name="Bildobjekt 1" descr="Logotype för Sveriges officiella statistik.">
          <a:extLst>
            <a:ext uri="{FF2B5EF4-FFF2-40B4-BE49-F238E27FC236}">
              <a16:creationId xmlns:a16="http://schemas.microsoft.com/office/drawing/2014/main" id="{DEA93BC1-0F5C-4F94-99A5-B7C1137352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145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14500" cy="247650"/>
    <xdr:pic>
      <xdr:nvPicPr>
        <xdr:cNvPr id="2" name="Bildobjekt 1" descr="Logotype för Sveriges officiella statistik.">
          <a:extLst>
            <a:ext uri="{FF2B5EF4-FFF2-40B4-BE49-F238E27FC236}">
              <a16:creationId xmlns:a16="http://schemas.microsoft.com/office/drawing/2014/main" id="{910CCCE9-B022-41E5-BF40-10AAFB1A4A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145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14500" cy="247650"/>
    <xdr:pic>
      <xdr:nvPicPr>
        <xdr:cNvPr id="2" name="Bildobjekt 1" descr="Logotype för Sveriges officiella statistik.">
          <a:extLst>
            <a:ext uri="{FF2B5EF4-FFF2-40B4-BE49-F238E27FC236}">
              <a16:creationId xmlns:a16="http://schemas.microsoft.com/office/drawing/2014/main" id="{D6D4A4DD-C879-483C-A8E5-EAEA13F28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145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F874" totalsRowShown="0">
  <autoFilter ref="A2:F874" xr:uid="{00000000-0009-0000-0100-000001000000}"/>
  <tableColumns count="6">
    <tableColumn id="1" xr3:uid="{00000000-0010-0000-0000-000001000000}" name="Lagrum"/>
    <tableColumn id="2" xr3:uid="{00000000-0010-0000-0000-000002000000}" name="Brottstyp" dataDxfId="3"/>
    <tableColumn id="3" xr3:uid="{00000000-0010-0000-0000-000003000000}" name="Antal brott, december 2024"/>
    <tableColumn id="4" xr3:uid="{00000000-0010-0000-0000-000004000000}" name="Förändring jämfört med december 2023 , i antal"/>
    <tableColumn id="5" xr3:uid="{00000000-0010-0000-0000-000005000000}" name="Förändring jämfört med december 2023 , i procent"/>
    <tableColumn id="6" xr3:uid="{00000000-0010-0000-0000-000006000000}" name="Antal brott per 100 000 invånare, ackumulerat under 202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F873" totalsRowShown="0">
  <autoFilter ref="A1:F873" xr:uid="{00000000-0009-0000-0100-000002000000}"/>
  <tableColumns count="6">
    <tableColumn id="1" xr3:uid="{00000000-0010-0000-0100-000001000000}" name="Lagrum"/>
    <tableColumn id="2" xr3:uid="{00000000-0010-0000-0100-000002000000}" name="Brottstyp" dataDxfId="2"/>
    <tableColumn id="3" xr3:uid="{00000000-0010-0000-0100-000003000000}" name="Antal brott" dataDxfId="0"/>
    <tableColumn id="4" xr3:uid="{00000000-0010-0000-0100-000004000000}" name="Förändring jämfört med motsvarande period 2023, i antal"/>
    <tableColumn id="5" xr3:uid="{00000000-0010-0000-0100-000005000000}" name="Förändring jämfört med motsvarande period 2023, i procent"/>
    <tableColumn id="6" xr3:uid="{00000000-0010-0000-0100-000006000000}" name="Antal brott per 100 000 invånare, ackumulerat under 202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F466" totalsRowShown="0">
  <autoFilter ref="A2:F466" xr:uid="{00000000-0009-0000-0100-000003000000}"/>
  <tableColumns count="6">
    <tableColumn id="1" xr3:uid="{00000000-0010-0000-0200-000001000000}" name="Lagrum"/>
    <tableColumn id="2" xr3:uid="{00000000-0010-0000-0200-000002000000}" name="Brottstyp" dataDxfId="1"/>
    <tableColumn id="3" xr3:uid="{00000000-0010-0000-0200-000003000000}" name="Antal brott totalt, de senaste 12 månaderna, jan-dec"/>
    <tableColumn id="4" xr3:uid="{00000000-0010-0000-0200-000004000000}" name="Förändring jämfört med motsvarande period året innan, i antal"/>
    <tableColumn id="5" xr3:uid="{00000000-0010-0000-0200-000005000000}" name="Förändring jämfört med motsvarande period året innan, i procent"/>
    <tableColumn id="6" xr3:uid="{00000000-0010-0000-0200-000006000000}" name="Antal brott per 100 000 invånare, de senaste 12 månaderna, jan-dec"/>
  </tableColumns>
  <tableStyleInfo name="TableStyleLight1"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bra.se/statistik/kriminalstatistik/anmalda-brott.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bra.se/statistik/kriminalstatistik/anmalda-brot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CE7B-7F82-4865-8A7F-19B75DAD491A}">
  <dimension ref="A1:F874"/>
  <sheetViews>
    <sheetView showGridLines="0" workbookViewId="0"/>
  </sheetViews>
  <sheetFormatPr defaultColWidth="9.109375" defaultRowHeight="14.4" x14ac:dyDescent="0.3"/>
  <cols>
    <col min="1" max="2" width="65.6640625" style="10" customWidth="1"/>
    <col min="3" max="5" width="18.6640625" style="10" customWidth="1"/>
    <col min="6" max="6" width="19.6640625" style="4" customWidth="1"/>
    <col min="7" max="16384" width="9.109375" style="10"/>
  </cols>
  <sheetData>
    <row r="1" spans="1:6" ht="45" customHeight="1" x14ac:dyDescent="0.3">
      <c r="A1" s="1" t="s">
        <v>4</v>
      </c>
      <c r="B1" s="1"/>
      <c r="C1" s="2"/>
      <c r="D1" s="1"/>
      <c r="E1" s="9"/>
    </row>
    <row r="2" spans="1:6" ht="30.6" x14ac:dyDescent="0.3">
      <c r="A2" s="12" t="s">
        <v>1</v>
      </c>
      <c r="B2" s="12" t="s">
        <v>0</v>
      </c>
      <c r="C2" s="12" t="s">
        <v>859</v>
      </c>
      <c r="D2" s="12" t="s">
        <v>860</v>
      </c>
      <c r="E2" s="12" t="s">
        <v>861</v>
      </c>
      <c r="F2" s="12" t="s">
        <v>862</v>
      </c>
    </row>
    <row r="3" spans="1:6" x14ac:dyDescent="0.3">
      <c r="A3" s="13" t="s">
        <v>6</v>
      </c>
      <c r="B3" s="1794" t="s">
        <v>6</v>
      </c>
      <c r="C3" s="14">
        <v>105555</v>
      </c>
      <c r="D3" s="14">
        <v>-4481</v>
      </c>
      <c r="E3" s="14">
        <v>-4.0723036097277197</v>
      </c>
      <c r="F3" s="14">
        <v>1000.3594679041</v>
      </c>
    </row>
    <row r="4" spans="1:6" x14ac:dyDescent="0.3">
      <c r="A4" s="15" t="s">
        <v>7</v>
      </c>
      <c r="B4" s="1794" t="s">
        <v>8</v>
      </c>
      <c r="C4" s="16">
        <v>84925</v>
      </c>
      <c r="D4" s="16">
        <v>-5662</v>
      </c>
      <c r="E4" s="16">
        <v>-6.2503449722366398</v>
      </c>
      <c r="F4" s="16">
        <v>804.846078459154</v>
      </c>
    </row>
    <row r="5" spans="1:6" x14ac:dyDescent="0.3">
      <c r="A5" s="17" t="s">
        <v>9</v>
      </c>
      <c r="B5" s="1794" t="s">
        <v>10</v>
      </c>
      <c r="C5" s="18">
        <v>23105</v>
      </c>
      <c r="D5" s="18">
        <v>955</v>
      </c>
      <c r="E5" s="18">
        <v>4.31151241534989</v>
      </c>
      <c r="F5" s="18">
        <v>218.96930989459801</v>
      </c>
    </row>
    <row r="6" spans="1:6" x14ac:dyDescent="0.3">
      <c r="A6" s="19" t="s">
        <v>11</v>
      </c>
      <c r="B6" s="19" t="s">
        <v>12</v>
      </c>
      <c r="C6" s="20">
        <v>7420</v>
      </c>
      <c r="D6" s="20">
        <v>320</v>
      </c>
      <c r="E6" s="20">
        <v>4.5070422535211296</v>
      </c>
      <c r="F6" s="20">
        <v>70.320375651067593</v>
      </c>
    </row>
    <row r="7" spans="1:6" x14ac:dyDescent="0.3">
      <c r="A7" s="21" t="s">
        <v>13</v>
      </c>
      <c r="B7" s="1795" t="s">
        <v>14</v>
      </c>
      <c r="C7" s="22">
        <v>35</v>
      </c>
      <c r="D7" s="22">
        <v>-3</v>
      </c>
      <c r="E7" s="22">
        <v>-7.8947368421052602</v>
      </c>
      <c r="F7" s="22">
        <v>0.33169988514654503</v>
      </c>
    </row>
    <row r="8" spans="1:6" x14ac:dyDescent="0.3">
      <c r="A8" s="23" t="s">
        <v>13</v>
      </c>
      <c r="B8" s="1795" t="s">
        <v>15</v>
      </c>
      <c r="C8" s="24">
        <v>13</v>
      </c>
      <c r="D8" s="24">
        <v>-3</v>
      </c>
      <c r="E8" s="24">
        <v>-18.75</v>
      </c>
      <c r="F8" s="24">
        <v>0.12320281448300301</v>
      </c>
    </row>
    <row r="9" spans="1:6" x14ac:dyDescent="0.3">
      <c r="A9" s="25" t="s">
        <v>13</v>
      </c>
      <c r="B9" s="1795" t="s">
        <v>16</v>
      </c>
      <c r="C9" s="26">
        <v>3</v>
      </c>
      <c r="D9" s="26">
        <v>1</v>
      </c>
      <c r="E9" s="26">
        <v>50</v>
      </c>
      <c r="F9" s="26">
        <v>2.8431418726846801E-2</v>
      </c>
    </row>
    <row r="10" spans="1:6" x14ac:dyDescent="0.3">
      <c r="A10" s="27" t="s">
        <v>13</v>
      </c>
      <c r="B10" s="1795" t="s">
        <v>17</v>
      </c>
      <c r="C10" s="28">
        <v>10</v>
      </c>
      <c r="D10" s="28">
        <v>-4</v>
      </c>
      <c r="E10" s="28">
        <v>-28.571428571428601</v>
      </c>
      <c r="F10" s="28">
        <v>9.4771395756155896E-2</v>
      </c>
    </row>
    <row r="11" spans="1:6" x14ac:dyDescent="0.3">
      <c r="A11" s="29" t="s">
        <v>13</v>
      </c>
      <c r="B11" s="1795" t="s">
        <v>18</v>
      </c>
      <c r="C11" s="30">
        <v>22</v>
      </c>
      <c r="D11" s="30">
        <v>0</v>
      </c>
      <c r="E11" s="30">
        <v>0</v>
      </c>
      <c r="F11" s="30">
        <v>0.208497070663543</v>
      </c>
    </row>
    <row r="12" spans="1:6" x14ac:dyDescent="0.3">
      <c r="A12" s="31" t="s">
        <v>13</v>
      </c>
      <c r="B12" s="1795" t="s">
        <v>19</v>
      </c>
      <c r="C12" s="32">
        <v>2</v>
      </c>
      <c r="D12" s="32">
        <v>-2</v>
      </c>
      <c r="E12" s="32">
        <v>-50</v>
      </c>
      <c r="F12" s="32">
        <v>1.8954279151231199E-2</v>
      </c>
    </row>
    <row r="13" spans="1:6" x14ac:dyDescent="0.3">
      <c r="A13" s="33" t="s">
        <v>13</v>
      </c>
      <c r="B13" s="1795" t="s">
        <v>20</v>
      </c>
      <c r="C13" s="34">
        <v>20</v>
      </c>
      <c r="D13" s="34">
        <v>2</v>
      </c>
      <c r="E13" s="34">
        <v>11.1111111111111</v>
      </c>
      <c r="F13" s="34">
        <v>0.18954279151231199</v>
      </c>
    </row>
    <row r="14" spans="1:6" x14ac:dyDescent="0.3">
      <c r="A14" s="35" t="s">
        <v>21</v>
      </c>
      <c r="B14" s="1795" t="s">
        <v>22</v>
      </c>
      <c r="C14" s="36">
        <v>83</v>
      </c>
      <c r="D14" s="36">
        <v>-12</v>
      </c>
      <c r="E14" s="36">
        <v>-12.6315789473684</v>
      </c>
      <c r="F14" s="36">
        <v>0.78660258477609402</v>
      </c>
    </row>
    <row r="15" spans="1:6" x14ac:dyDescent="0.3">
      <c r="A15" s="37" t="s">
        <v>21</v>
      </c>
      <c r="B15" s="1795" t="s">
        <v>23</v>
      </c>
      <c r="C15" s="38">
        <v>8</v>
      </c>
      <c r="D15" s="38">
        <v>-2</v>
      </c>
      <c r="E15" s="38">
        <v>-20</v>
      </c>
      <c r="F15" s="38">
        <v>7.5817116604924698E-2</v>
      </c>
    </row>
    <row r="16" spans="1:6" x14ac:dyDescent="0.3">
      <c r="A16" s="39" t="s">
        <v>21</v>
      </c>
      <c r="B16" s="1795" t="s">
        <v>24</v>
      </c>
      <c r="C16" s="40">
        <v>0</v>
      </c>
      <c r="D16" s="40">
        <v>-1</v>
      </c>
      <c r="E16" s="40">
        <v>-100</v>
      </c>
      <c r="F16" s="40">
        <v>0</v>
      </c>
    </row>
    <row r="17" spans="1:6" x14ac:dyDescent="0.3">
      <c r="A17" s="41" t="s">
        <v>21</v>
      </c>
      <c r="B17" s="1795" t="s">
        <v>25</v>
      </c>
      <c r="C17" s="42">
        <v>8</v>
      </c>
      <c r="D17" s="42">
        <v>-1</v>
      </c>
      <c r="E17" s="42">
        <v>-11.1111111111111</v>
      </c>
      <c r="F17" s="42">
        <v>7.5817116604924698E-2</v>
      </c>
    </row>
    <row r="18" spans="1:6" x14ac:dyDescent="0.3">
      <c r="A18" s="43" t="s">
        <v>21</v>
      </c>
      <c r="B18" s="1795" t="s">
        <v>26</v>
      </c>
      <c r="C18" s="44">
        <v>16</v>
      </c>
      <c r="D18" s="44">
        <v>5</v>
      </c>
      <c r="E18" s="44">
        <v>45.454545454545503</v>
      </c>
      <c r="F18" s="44">
        <v>0.15163423320984901</v>
      </c>
    </row>
    <row r="19" spans="1:6" x14ac:dyDescent="0.3">
      <c r="A19" s="45" t="s">
        <v>21</v>
      </c>
      <c r="B19" s="1795" t="s">
        <v>27</v>
      </c>
      <c r="C19" s="46">
        <v>8</v>
      </c>
      <c r="D19" s="46">
        <v>5</v>
      </c>
      <c r="E19" s="46">
        <v>166.666666666667</v>
      </c>
      <c r="F19" s="46">
        <v>7.5817116604924698E-2</v>
      </c>
    </row>
    <row r="20" spans="1:6" x14ac:dyDescent="0.3">
      <c r="A20" s="47" t="s">
        <v>21</v>
      </c>
      <c r="B20" s="1795" t="s">
        <v>28</v>
      </c>
      <c r="C20" s="48">
        <v>2</v>
      </c>
      <c r="D20" s="48">
        <v>1</v>
      </c>
      <c r="E20" s="48">
        <v>100</v>
      </c>
      <c r="F20" s="48">
        <v>1.8954279151231199E-2</v>
      </c>
    </row>
    <row r="21" spans="1:6" x14ac:dyDescent="0.3">
      <c r="A21" s="49" t="s">
        <v>21</v>
      </c>
      <c r="B21" s="1795" t="s">
        <v>29</v>
      </c>
      <c r="C21" s="50">
        <v>2</v>
      </c>
      <c r="D21" s="50">
        <v>-2</v>
      </c>
      <c r="E21" s="50">
        <v>-50</v>
      </c>
      <c r="F21" s="50">
        <v>1.8954279151231199E-2</v>
      </c>
    </row>
    <row r="22" spans="1:6" x14ac:dyDescent="0.3">
      <c r="A22" s="51" t="s">
        <v>21</v>
      </c>
      <c r="B22" s="1795" t="s">
        <v>30</v>
      </c>
      <c r="C22" s="52">
        <v>4</v>
      </c>
      <c r="D22" s="52">
        <v>1</v>
      </c>
      <c r="E22" s="52">
        <v>33.3333333333333</v>
      </c>
      <c r="F22" s="52">
        <v>3.79085583024623E-2</v>
      </c>
    </row>
    <row r="23" spans="1:6" x14ac:dyDescent="0.3">
      <c r="A23" s="53" t="s">
        <v>21</v>
      </c>
      <c r="B23" s="1795" t="s">
        <v>31</v>
      </c>
      <c r="C23" s="54">
        <v>59</v>
      </c>
      <c r="D23" s="54">
        <v>-15</v>
      </c>
      <c r="E23" s="54">
        <v>-20.270270270270299</v>
      </c>
      <c r="F23" s="54">
        <v>0.55915123496132002</v>
      </c>
    </row>
    <row r="24" spans="1:6" x14ac:dyDescent="0.3">
      <c r="A24" s="55" t="s">
        <v>21</v>
      </c>
      <c r="B24" s="1795" t="s">
        <v>32</v>
      </c>
      <c r="C24" s="56">
        <v>4</v>
      </c>
      <c r="D24" s="56">
        <v>2</v>
      </c>
      <c r="E24" s="56">
        <v>100</v>
      </c>
      <c r="F24" s="56">
        <v>3.79085583024623E-2</v>
      </c>
    </row>
    <row r="25" spans="1:6" x14ac:dyDescent="0.3">
      <c r="A25" s="57" t="s">
        <v>21</v>
      </c>
      <c r="B25" s="1795" t="s">
        <v>33</v>
      </c>
      <c r="C25" s="58">
        <v>2</v>
      </c>
      <c r="D25" s="58">
        <v>0</v>
      </c>
      <c r="E25" s="58">
        <v>0</v>
      </c>
      <c r="F25" s="58">
        <v>1.8954279151231199E-2</v>
      </c>
    </row>
    <row r="26" spans="1:6" x14ac:dyDescent="0.3">
      <c r="A26" s="59" t="s">
        <v>21</v>
      </c>
      <c r="B26" s="1795" t="s">
        <v>34</v>
      </c>
      <c r="C26" s="60">
        <v>6</v>
      </c>
      <c r="D26" s="60">
        <v>-18</v>
      </c>
      <c r="E26" s="60">
        <v>-75</v>
      </c>
      <c r="F26" s="60">
        <v>5.6862837453693499E-2</v>
      </c>
    </row>
    <row r="27" spans="1:6" x14ac:dyDescent="0.3">
      <c r="A27" s="61" t="s">
        <v>21</v>
      </c>
      <c r="B27" s="1795" t="s">
        <v>35</v>
      </c>
      <c r="C27" s="62">
        <v>47</v>
      </c>
      <c r="D27" s="62">
        <v>1</v>
      </c>
      <c r="E27" s="62">
        <v>2.1739130434782599</v>
      </c>
      <c r="F27" s="62">
        <v>0.44542556005393302</v>
      </c>
    </row>
    <row r="28" spans="1:6" x14ac:dyDescent="0.3">
      <c r="A28" s="63" t="s">
        <v>36</v>
      </c>
      <c r="B28" s="1795" t="s">
        <v>37</v>
      </c>
      <c r="C28" s="64">
        <v>0</v>
      </c>
      <c r="D28" s="64">
        <v>0</v>
      </c>
      <c r="E28" s="64" t="s">
        <v>38</v>
      </c>
      <c r="F28" s="64">
        <v>0</v>
      </c>
    </row>
    <row r="29" spans="1:6" x14ac:dyDescent="0.3">
      <c r="A29" s="65" t="s">
        <v>39</v>
      </c>
      <c r="B29" s="1795" t="s">
        <v>40</v>
      </c>
      <c r="C29" s="66">
        <v>6920</v>
      </c>
      <c r="D29" s="66">
        <v>337</v>
      </c>
      <c r="E29" s="66">
        <v>5.1192465441288197</v>
      </c>
      <c r="F29" s="66">
        <v>65.581805863259802</v>
      </c>
    </row>
    <row r="30" spans="1:6" x14ac:dyDescent="0.3">
      <c r="A30" s="67" t="s">
        <v>39</v>
      </c>
      <c r="B30" s="1795" t="s">
        <v>41</v>
      </c>
      <c r="C30" s="68">
        <v>287</v>
      </c>
      <c r="D30" s="68">
        <v>40</v>
      </c>
      <c r="E30" s="68">
        <v>16.1943319838057</v>
      </c>
      <c r="F30" s="68">
        <v>2.7199390582016698</v>
      </c>
    </row>
    <row r="31" spans="1:6" x14ac:dyDescent="0.3">
      <c r="A31" s="69" t="s">
        <v>39</v>
      </c>
      <c r="B31" s="1795" t="s">
        <v>42</v>
      </c>
      <c r="C31" s="70">
        <v>110</v>
      </c>
      <c r="D31" s="70">
        <v>22</v>
      </c>
      <c r="E31" s="70">
        <v>25</v>
      </c>
      <c r="F31" s="70">
        <v>1.0424853533177101</v>
      </c>
    </row>
    <row r="32" spans="1:6" x14ac:dyDescent="0.3">
      <c r="A32" s="71" t="s">
        <v>39</v>
      </c>
      <c r="B32" s="1795" t="s">
        <v>43</v>
      </c>
      <c r="C32" s="72">
        <v>108</v>
      </c>
      <c r="D32" s="72">
        <v>23</v>
      </c>
      <c r="E32" s="72">
        <v>27.0588235294118</v>
      </c>
      <c r="F32" s="72">
        <v>1.02353107416648</v>
      </c>
    </row>
    <row r="33" spans="1:6" x14ac:dyDescent="0.3">
      <c r="A33" s="73" t="s">
        <v>39</v>
      </c>
      <c r="B33" s="1795" t="s">
        <v>44</v>
      </c>
      <c r="C33" s="74">
        <v>7</v>
      </c>
      <c r="D33" s="74">
        <v>4</v>
      </c>
      <c r="E33" s="74">
        <v>133.333333333333</v>
      </c>
      <c r="F33" s="74">
        <v>6.6339977029309105E-2</v>
      </c>
    </row>
    <row r="34" spans="1:6" x14ac:dyDescent="0.3">
      <c r="A34" s="75" t="s">
        <v>39</v>
      </c>
      <c r="B34" s="1795" t="s">
        <v>45</v>
      </c>
      <c r="C34" s="76">
        <v>101</v>
      </c>
      <c r="D34" s="76">
        <v>19</v>
      </c>
      <c r="E34" s="76">
        <v>23.170731707317099</v>
      </c>
      <c r="F34" s="76">
        <v>0.95719109713717399</v>
      </c>
    </row>
    <row r="35" spans="1:6" x14ac:dyDescent="0.3">
      <c r="A35" s="77" t="s">
        <v>39</v>
      </c>
      <c r="B35" s="1795" t="s">
        <v>46</v>
      </c>
      <c r="C35" s="78">
        <v>2</v>
      </c>
      <c r="D35" s="78">
        <v>-1</v>
      </c>
      <c r="E35" s="78">
        <v>-33.3333333333333</v>
      </c>
      <c r="F35" s="78">
        <v>1.8954279151231199E-2</v>
      </c>
    </row>
    <row r="36" spans="1:6" x14ac:dyDescent="0.3">
      <c r="A36" s="79" t="s">
        <v>39</v>
      </c>
      <c r="B36" s="1795" t="s">
        <v>47</v>
      </c>
      <c r="C36" s="80">
        <v>0</v>
      </c>
      <c r="D36" s="80">
        <v>-1</v>
      </c>
      <c r="E36" s="80">
        <v>-100</v>
      </c>
      <c r="F36" s="80">
        <v>0</v>
      </c>
    </row>
    <row r="37" spans="1:6" x14ac:dyDescent="0.3">
      <c r="A37" s="81" t="s">
        <v>39</v>
      </c>
      <c r="B37" s="1795" t="s">
        <v>48</v>
      </c>
      <c r="C37" s="82">
        <v>2</v>
      </c>
      <c r="D37" s="82">
        <v>0</v>
      </c>
      <c r="E37" s="82">
        <v>0</v>
      </c>
      <c r="F37" s="82">
        <v>1.8954279151231199E-2</v>
      </c>
    </row>
    <row r="38" spans="1:6" x14ac:dyDescent="0.3">
      <c r="A38" s="83" t="s">
        <v>39</v>
      </c>
      <c r="B38" s="1795" t="s">
        <v>49</v>
      </c>
      <c r="C38" s="84">
        <v>177</v>
      </c>
      <c r="D38" s="84">
        <v>18</v>
      </c>
      <c r="E38" s="84">
        <v>11.320754716981099</v>
      </c>
      <c r="F38" s="84">
        <v>1.67745370488396</v>
      </c>
    </row>
    <row r="39" spans="1:6" x14ac:dyDescent="0.3">
      <c r="A39" s="85" t="s">
        <v>39</v>
      </c>
      <c r="B39" s="1795" t="s">
        <v>50</v>
      </c>
      <c r="C39" s="86">
        <v>171</v>
      </c>
      <c r="D39" s="86">
        <v>14</v>
      </c>
      <c r="E39" s="86">
        <v>8.9171974522292992</v>
      </c>
      <c r="F39" s="86">
        <v>1.62059086743027</v>
      </c>
    </row>
    <row r="40" spans="1:6" x14ac:dyDescent="0.3">
      <c r="A40" s="87" t="s">
        <v>39</v>
      </c>
      <c r="B40" s="1795" t="s">
        <v>51</v>
      </c>
      <c r="C40" s="88">
        <v>7</v>
      </c>
      <c r="D40" s="88">
        <v>0</v>
      </c>
      <c r="E40" s="88">
        <v>0</v>
      </c>
      <c r="F40" s="88">
        <v>6.6339977029309105E-2</v>
      </c>
    </row>
    <row r="41" spans="1:6" x14ac:dyDescent="0.3">
      <c r="A41" s="89" t="s">
        <v>39</v>
      </c>
      <c r="B41" s="1795" t="s">
        <v>52</v>
      </c>
      <c r="C41" s="90">
        <v>164</v>
      </c>
      <c r="D41" s="90">
        <v>14</v>
      </c>
      <c r="E41" s="90">
        <v>9.3333333333333304</v>
      </c>
      <c r="F41" s="90">
        <v>1.55425089040096</v>
      </c>
    </row>
    <row r="42" spans="1:6" x14ac:dyDescent="0.3">
      <c r="A42" s="91" t="s">
        <v>39</v>
      </c>
      <c r="B42" s="1795" t="s">
        <v>53</v>
      </c>
      <c r="C42" s="92">
        <v>6</v>
      </c>
      <c r="D42" s="92">
        <v>4</v>
      </c>
      <c r="E42" s="92">
        <v>200</v>
      </c>
      <c r="F42" s="92">
        <v>5.6862837453693499E-2</v>
      </c>
    </row>
    <row r="43" spans="1:6" x14ac:dyDescent="0.3">
      <c r="A43" s="93" t="s">
        <v>39</v>
      </c>
      <c r="B43" s="1795" t="s">
        <v>54</v>
      </c>
      <c r="C43" s="94">
        <v>2</v>
      </c>
      <c r="D43" s="94">
        <v>2</v>
      </c>
      <c r="E43" s="94" t="s">
        <v>38</v>
      </c>
      <c r="F43" s="94">
        <v>1.8954279151231199E-2</v>
      </c>
    </row>
    <row r="44" spans="1:6" x14ac:dyDescent="0.3">
      <c r="A44" s="95" t="s">
        <v>39</v>
      </c>
      <c r="B44" s="1795" t="s">
        <v>55</v>
      </c>
      <c r="C44" s="96">
        <v>4</v>
      </c>
      <c r="D44" s="96">
        <v>2</v>
      </c>
      <c r="E44" s="96">
        <v>100</v>
      </c>
      <c r="F44" s="96">
        <v>3.79085583024623E-2</v>
      </c>
    </row>
    <row r="45" spans="1:6" x14ac:dyDescent="0.3">
      <c r="A45" s="97" t="s">
        <v>39</v>
      </c>
      <c r="B45" s="1795" t="s">
        <v>56</v>
      </c>
      <c r="C45" s="98">
        <v>1116</v>
      </c>
      <c r="D45" s="98">
        <v>72</v>
      </c>
      <c r="E45" s="98">
        <v>6.8965517241379297</v>
      </c>
      <c r="F45" s="98">
        <v>10.576487766387</v>
      </c>
    </row>
    <row r="46" spans="1:6" x14ac:dyDescent="0.3">
      <c r="A46" s="99" t="s">
        <v>39</v>
      </c>
      <c r="B46" s="1795" t="s">
        <v>57</v>
      </c>
      <c r="C46" s="100">
        <v>398</v>
      </c>
      <c r="D46" s="100">
        <v>32</v>
      </c>
      <c r="E46" s="100">
        <v>8.7431693989070993</v>
      </c>
      <c r="F46" s="100">
        <v>3.771901551095</v>
      </c>
    </row>
    <row r="47" spans="1:6" x14ac:dyDescent="0.3">
      <c r="A47" s="101" t="s">
        <v>39</v>
      </c>
      <c r="B47" s="1795" t="s">
        <v>58</v>
      </c>
      <c r="C47" s="102">
        <v>366</v>
      </c>
      <c r="D47" s="102">
        <v>25</v>
      </c>
      <c r="E47" s="102">
        <v>7.3313782991202396</v>
      </c>
      <c r="F47" s="102">
        <v>3.4686330846753002</v>
      </c>
    </row>
    <row r="48" spans="1:6" x14ac:dyDescent="0.3">
      <c r="A48" s="103" t="s">
        <v>39</v>
      </c>
      <c r="B48" s="1795" t="s">
        <v>59</v>
      </c>
      <c r="C48" s="104">
        <v>72</v>
      </c>
      <c r="D48" s="104">
        <v>14</v>
      </c>
      <c r="E48" s="104">
        <v>24.137931034482801</v>
      </c>
      <c r="F48" s="104">
        <v>0.68235404944432199</v>
      </c>
    </row>
    <row r="49" spans="1:6" x14ac:dyDescent="0.3">
      <c r="A49" s="105" t="s">
        <v>39</v>
      </c>
      <c r="B49" s="1795" t="s">
        <v>60</v>
      </c>
      <c r="C49" s="106">
        <v>294</v>
      </c>
      <c r="D49" s="106">
        <v>11</v>
      </c>
      <c r="E49" s="106">
        <v>3.8869257950530001</v>
      </c>
      <c r="F49" s="106">
        <v>2.7862790352309799</v>
      </c>
    </row>
    <row r="50" spans="1:6" x14ac:dyDescent="0.3">
      <c r="A50" s="107" t="s">
        <v>39</v>
      </c>
      <c r="B50" s="1795" t="s">
        <v>61</v>
      </c>
      <c r="C50" s="108">
        <v>32</v>
      </c>
      <c r="D50" s="108">
        <v>7</v>
      </c>
      <c r="E50" s="108">
        <v>28</v>
      </c>
      <c r="F50" s="108">
        <v>0.30326846641969901</v>
      </c>
    </row>
    <row r="51" spans="1:6" x14ac:dyDescent="0.3">
      <c r="A51" s="109" t="s">
        <v>39</v>
      </c>
      <c r="B51" s="1795" t="s">
        <v>62</v>
      </c>
      <c r="C51" s="110">
        <v>16</v>
      </c>
      <c r="D51" s="110">
        <v>3</v>
      </c>
      <c r="E51" s="110">
        <v>23.076923076923102</v>
      </c>
      <c r="F51" s="110">
        <v>0.15163423320984901</v>
      </c>
    </row>
    <row r="52" spans="1:6" x14ac:dyDescent="0.3">
      <c r="A52" s="111" t="s">
        <v>39</v>
      </c>
      <c r="B52" s="1795" t="s">
        <v>63</v>
      </c>
      <c r="C52" s="112">
        <v>16</v>
      </c>
      <c r="D52" s="112">
        <v>4</v>
      </c>
      <c r="E52" s="112">
        <v>33.3333333333333</v>
      </c>
      <c r="F52" s="112">
        <v>0.15163423320984901</v>
      </c>
    </row>
    <row r="53" spans="1:6" x14ac:dyDescent="0.3">
      <c r="A53" s="113" t="s">
        <v>39</v>
      </c>
      <c r="B53" s="1795" t="s">
        <v>64</v>
      </c>
      <c r="C53" s="114">
        <v>718</v>
      </c>
      <c r="D53" s="114">
        <v>40</v>
      </c>
      <c r="E53" s="114">
        <v>5.8997050147492596</v>
      </c>
      <c r="F53" s="114">
        <v>6.80458621529199</v>
      </c>
    </row>
    <row r="54" spans="1:6" x14ac:dyDescent="0.3">
      <c r="A54" s="115" t="s">
        <v>39</v>
      </c>
      <c r="B54" s="1795" t="s">
        <v>65</v>
      </c>
      <c r="C54" s="116">
        <v>615</v>
      </c>
      <c r="D54" s="116">
        <v>36</v>
      </c>
      <c r="E54" s="116">
        <v>6.2176165803108798</v>
      </c>
      <c r="F54" s="116">
        <v>5.8284408390035898</v>
      </c>
    </row>
    <row r="55" spans="1:6" x14ac:dyDescent="0.3">
      <c r="A55" s="117" t="s">
        <v>39</v>
      </c>
      <c r="B55" s="1795" t="s">
        <v>66</v>
      </c>
      <c r="C55" s="118">
        <v>140</v>
      </c>
      <c r="D55" s="118">
        <v>-21</v>
      </c>
      <c r="E55" s="118">
        <v>-13.0434782608696</v>
      </c>
      <c r="F55" s="118">
        <v>1.3267995405861801</v>
      </c>
    </row>
    <row r="56" spans="1:6" x14ac:dyDescent="0.3">
      <c r="A56" s="119" t="s">
        <v>39</v>
      </c>
      <c r="B56" s="1795" t="s">
        <v>67</v>
      </c>
      <c r="C56" s="120">
        <v>475</v>
      </c>
      <c r="D56" s="120">
        <v>57</v>
      </c>
      <c r="E56" s="120">
        <v>13.636363636363599</v>
      </c>
      <c r="F56" s="120">
        <v>4.5016412984174003</v>
      </c>
    </row>
    <row r="57" spans="1:6" x14ac:dyDescent="0.3">
      <c r="A57" s="121" t="s">
        <v>39</v>
      </c>
      <c r="B57" s="1795" t="s">
        <v>68</v>
      </c>
      <c r="C57" s="122">
        <v>103</v>
      </c>
      <c r="D57" s="122">
        <v>4</v>
      </c>
      <c r="E57" s="122">
        <v>4.0404040404040398</v>
      </c>
      <c r="F57" s="122">
        <v>0.97614537628840503</v>
      </c>
    </row>
    <row r="58" spans="1:6" x14ac:dyDescent="0.3">
      <c r="A58" s="123" t="s">
        <v>39</v>
      </c>
      <c r="B58" s="1795" t="s">
        <v>69</v>
      </c>
      <c r="C58" s="124">
        <v>55</v>
      </c>
      <c r="D58" s="124">
        <v>0</v>
      </c>
      <c r="E58" s="124">
        <v>0</v>
      </c>
      <c r="F58" s="124">
        <v>0.52124267665885704</v>
      </c>
    </row>
    <row r="59" spans="1:6" x14ac:dyDescent="0.3">
      <c r="A59" s="125" t="s">
        <v>39</v>
      </c>
      <c r="B59" s="1795" t="s">
        <v>70</v>
      </c>
      <c r="C59" s="126">
        <v>48</v>
      </c>
      <c r="D59" s="126">
        <v>4</v>
      </c>
      <c r="E59" s="126">
        <v>9.0909090909090899</v>
      </c>
      <c r="F59" s="126">
        <v>0.45490269962954799</v>
      </c>
    </row>
    <row r="60" spans="1:6" x14ac:dyDescent="0.3">
      <c r="A60" s="127" t="s">
        <v>39</v>
      </c>
      <c r="B60" s="1795" t="s">
        <v>71</v>
      </c>
      <c r="C60" s="128">
        <v>534</v>
      </c>
      <c r="D60" s="128">
        <v>46</v>
      </c>
      <c r="E60" s="128">
        <v>9.4262295081967196</v>
      </c>
      <c r="F60" s="128">
        <v>5.06079253337872</v>
      </c>
    </row>
    <row r="61" spans="1:6" x14ac:dyDescent="0.3">
      <c r="A61" s="129" t="s">
        <v>39</v>
      </c>
      <c r="B61" s="1795" t="s">
        <v>72</v>
      </c>
      <c r="C61" s="130">
        <v>216</v>
      </c>
      <c r="D61" s="130">
        <v>40</v>
      </c>
      <c r="E61" s="130">
        <v>22.727272727272702</v>
      </c>
      <c r="F61" s="130">
        <v>2.0470621483329698</v>
      </c>
    </row>
    <row r="62" spans="1:6" x14ac:dyDescent="0.3">
      <c r="A62" s="131" t="s">
        <v>39</v>
      </c>
      <c r="B62" s="1795" t="s">
        <v>73</v>
      </c>
      <c r="C62" s="132">
        <v>178</v>
      </c>
      <c r="D62" s="132">
        <v>34</v>
      </c>
      <c r="E62" s="132">
        <v>23.6111111111111</v>
      </c>
      <c r="F62" s="132">
        <v>1.6869308444595701</v>
      </c>
    </row>
    <row r="63" spans="1:6" x14ac:dyDescent="0.3">
      <c r="A63" s="133" t="s">
        <v>39</v>
      </c>
      <c r="B63" s="1795" t="s">
        <v>74</v>
      </c>
      <c r="C63" s="134">
        <v>37</v>
      </c>
      <c r="D63" s="134">
        <v>17</v>
      </c>
      <c r="E63" s="134">
        <v>85</v>
      </c>
      <c r="F63" s="134">
        <v>0.35065416429777702</v>
      </c>
    </row>
    <row r="64" spans="1:6" x14ac:dyDescent="0.3">
      <c r="A64" s="135" t="s">
        <v>39</v>
      </c>
      <c r="B64" s="1795" t="s">
        <v>75</v>
      </c>
      <c r="C64" s="136">
        <v>141</v>
      </c>
      <c r="D64" s="136">
        <v>17</v>
      </c>
      <c r="E64" s="136">
        <v>13.709677419354801</v>
      </c>
      <c r="F64" s="136">
        <v>1.3362766801618</v>
      </c>
    </row>
    <row r="65" spans="1:6" x14ac:dyDescent="0.3">
      <c r="A65" s="137" t="s">
        <v>39</v>
      </c>
      <c r="B65" s="1795" t="s">
        <v>76</v>
      </c>
      <c r="C65" s="138">
        <v>38</v>
      </c>
      <c r="D65" s="138">
        <v>6</v>
      </c>
      <c r="E65" s="138">
        <v>18.75</v>
      </c>
      <c r="F65" s="138">
        <v>0.36013130387339198</v>
      </c>
    </row>
    <row r="66" spans="1:6" x14ac:dyDescent="0.3">
      <c r="A66" s="139" t="s">
        <v>39</v>
      </c>
      <c r="B66" s="1795" t="s">
        <v>77</v>
      </c>
      <c r="C66" s="140">
        <v>25</v>
      </c>
      <c r="D66" s="140">
        <v>11</v>
      </c>
      <c r="E66" s="140">
        <v>78.571428571428598</v>
      </c>
      <c r="F66" s="140">
        <v>0.23692848939038999</v>
      </c>
    </row>
    <row r="67" spans="1:6" x14ac:dyDescent="0.3">
      <c r="A67" s="141" t="s">
        <v>39</v>
      </c>
      <c r="B67" s="1795" t="s">
        <v>78</v>
      </c>
      <c r="C67" s="142">
        <v>13</v>
      </c>
      <c r="D67" s="142">
        <v>-5</v>
      </c>
      <c r="E67" s="142">
        <v>-27.7777777777778</v>
      </c>
      <c r="F67" s="142">
        <v>0.12320281448300301</v>
      </c>
    </row>
    <row r="68" spans="1:6" x14ac:dyDescent="0.3">
      <c r="A68" s="143" t="s">
        <v>39</v>
      </c>
      <c r="B68" s="1795" t="s">
        <v>79</v>
      </c>
      <c r="C68" s="144">
        <v>318</v>
      </c>
      <c r="D68" s="144">
        <v>6</v>
      </c>
      <c r="E68" s="144">
        <v>1.92307692307692</v>
      </c>
      <c r="F68" s="144">
        <v>3.01373038504576</v>
      </c>
    </row>
    <row r="69" spans="1:6" x14ac:dyDescent="0.3">
      <c r="A69" s="145" t="s">
        <v>39</v>
      </c>
      <c r="B69" s="1795" t="s">
        <v>80</v>
      </c>
      <c r="C69" s="146">
        <v>219</v>
      </c>
      <c r="D69" s="146">
        <v>11</v>
      </c>
      <c r="E69" s="146">
        <v>5.2884615384615401</v>
      </c>
      <c r="F69" s="146">
        <v>2.07549356705981</v>
      </c>
    </row>
    <row r="70" spans="1:6" x14ac:dyDescent="0.3">
      <c r="A70" s="147" t="s">
        <v>39</v>
      </c>
      <c r="B70" s="1795" t="s">
        <v>81</v>
      </c>
      <c r="C70" s="148">
        <v>68</v>
      </c>
      <c r="D70" s="148">
        <v>13</v>
      </c>
      <c r="E70" s="148">
        <v>23.636363636363601</v>
      </c>
      <c r="F70" s="148">
        <v>0.64444549114186001</v>
      </c>
    </row>
    <row r="71" spans="1:6" x14ac:dyDescent="0.3">
      <c r="A71" s="149" t="s">
        <v>39</v>
      </c>
      <c r="B71" s="1795" t="s">
        <v>82</v>
      </c>
      <c r="C71" s="150">
        <v>151</v>
      </c>
      <c r="D71" s="150">
        <v>-2</v>
      </c>
      <c r="E71" s="150">
        <v>-1.3071895424836599</v>
      </c>
      <c r="F71" s="150">
        <v>1.43104807591795</v>
      </c>
    </row>
    <row r="72" spans="1:6" x14ac:dyDescent="0.3">
      <c r="A72" s="151" t="s">
        <v>39</v>
      </c>
      <c r="B72" s="1795" t="s">
        <v>83</v>
      </c>
      <c r="C72" s="152">
        <v>99</v>
      </c>
      <c r="D72" s="152">
        <v>-5</v>
      </c>
      <c r="E72" s="152">
        <v>-4.8076923076923102</v>
      </c>
      <c r="F72" s="152">
        <v>0.93823681798594305</v>
      </c>
    </row>
    <row r="73" spans="1:6" x14ac:dyDescent="0.3">
      <c r="A73" s="153" t="s">
        <v>39</v>
      </c>
      <c r="B73" s="1795" t="s">
        <v>84</v>
      </c>
      <c r="C73" s="154">
        <v>65</v>
      </c>
      <c r="D73" s="154">
        <v>-5</v>
      </c>
      <c r="E73" s="154">
        <v>-7.1428571428571397</v>
      </c>
      <c r="F73" s="154">
        <v>0.61601407241501305</v>
      </c>
    </row>
    <row r="74" spans="1:6" x14ac:dyDescent="0.3">
      <c r="A74" s="155" t="s">
        <v>39</v>
      </c>
      <c r="B74" s="1795" t="s">
        <v>85</v>
      </c>
      <c r="C74" s="156">
        <v>34</v>
      </c>
      <c r="D74" s="156">
        <v>0</v>
      </c>
      <c r="E74" s="156">
        <v>0</v>
      </c>
      <c r="F74" s="156">
        <v>0.32222274557093</v>
      </c>
    </row>
    <row r="75" spans="1:6" x14ac:dyDescent="0.3">
      <c r="A75" s="157" t="s">
        <v>39</v>
      </c>
      <c r="B75" s="1795" t="s">
        <v>26</v>
      </c>
      <c r="C75" s="158">
        <v>2442</v>
      </c>
      <c r="D75" s="158">
        <v>107</v>
      </c>
      <c r="E75" s="158">
        <v>4.5824411134903604</v>
      </c>
      <c r="F75" s="158">
        <v>23.143174843653298</v>
      </c>
    </row>
    <row r="76" spans="1:6" x14ac:dyDescent="0.3">
      <c r="A76" s="159" t="s">
        <v>39</v>
      </c>
      <c r="B76" s="1795" t="s">
        <v>86</v>
      </c>
      <c r="C76" s="160">
        <v>1960</v>
      </c>
      <c r="D76" s="160">
        <v>79</v>
      </c>
      <c r="E76" s="160">
        <v>4.19989367357788</v>
      </c>
      <c r="F76" s="160">
        <v>18.575193568206501</v>
      </c>
    </row>
    <row r="77" spans="1:6" x14ac:dyDescent="0.3">
      <c r="A77" s="161" t="s">
        <v>39</v>
      </c>
      <c r="B77" s="1795" t="s">
        <v>87</v>
      </c>
      <c r="C77" s="162">
        <v>227</v>
      </c>
      <c r="D77" s="162">
        <v>-16</v>
      </c>
      <c r="E77" s="162">
        <v>-6.5843621399177001</v>
      </c>
      <c r="F77" s="162">
        <v>2.15131068366474</v>
      </c>
    </row>
    <row r="78" spans="1:6" x14ac:dyDescent="0.3">
      <c r="A78" s="163" t="s">
        <v>39</v>
      </c>
      <c r="B78" s="1795" t="s">
        <v>88</v>
      </c>
      <c r="C78" s="164">
        <v>1733</v>
      </c>
      <c r="D78" s="164">
        <v>95</v>
      </c>
      <c r="E78" s="164">
        <v>5.7997557997557996</v>
      </c>
      <c r="F78" s="164">
        <v>16.423882884541801</v>
      </c>
    </row>
    <row r="79" spans="1:6" x14ac:dyDescent="0.3">
      <c r="A79" s="165" t="s">
        <v>39</v>
      </c>
      <c r="B79" s="1795" t="s">
        <v>89</v>
      </c>
      <c r="C79" s="166">
        <v>482</v>
      </c>
      <c r="D79" s="166">
        <v>28</v>
      </c>
      <c r="E79" s="166">
        <v>6.1674008810572696</v>
      </c>
      <c r="F79" s="166">
        <v>4.5679812754467104</v>
      </c>
    </row>
    <row r="80" spans="1:6" x14ac:dyDescent="0.3">
      <c r="A80" s="167" t="s">
        <v>39</v>
      </c>
      <c r="B80" s="1795" t="s">
        <v>90</v>
      </c>
      <c r="C80" s="168">
        <v>207</v>
      </c>
      <c r="D80" s="168">
        <v>11</v>
      </c>
      <c r="E80" s="168">
        <v>5.6122448979591804</v>
      </c>
      <c r="F80" s="168">
        <v>1.96176789215243</v>
      </c>
    </row>
    <row r="81" spans="1:6" x14ac:dyDescent="0.3">
      <c r="A81" s="169" t="s">
        <v>39</v>
      </c>
      <c r="B81" s="1795" t="s">
        <v>91</v>
      </c>
      <c r="C81" s="170">
        <v>275</v>
      </c>
      <c r="D81" s="170">
        <v>17</v>
      </c>
      <c r="E81" s="170">
        <v>6.58914728682171</v>
      </c>
      <c r="F81" s="170">
        <v>2.60621338329429</v>
      </c>
    </row>
    <row r="82" spans="1:6" x14ac:dyDescent="0.3">
      <c r="A82" s="171" t="s">
        <v>39</v>
      </c>
      <c r="B82" s="1795" t="s">
        <v>31</v>
      </c>
      <c r="C82" s="172">
        <v>2541</v>
      </c>
      <c r="D82" s="172">
        <v>72</v>
      </c>
      <c r="E82" s="172">
        <v>2.9161603888213801</v>
      </c>
      <c r="F82" s="172">
        <v>24.081411661639201</v>
      </c>
    </row>
    <row r="83" spans="1:6" x14ac:dyDescent="0.3">
      <c r="A83" s="173" t="s">
        <v>39</v>
      </c>
      <c r="B83" s="1795" t="s">
        <v>92</v>
      </c>
      <c r="C83" s="174">
        <v>1168</v>
      </c>
      <c r="D83" s="174">
        <v>63</v>
      </c>
      <c r="E83" s="174">
        <v>5.7013574660633504</v>
      </c>
      <c r="F83" s="174">
        <v>11.069299024318999</v>
      </c>
    </row>
    <row r="84" spans="1:6" x14ac:dyDescent="0.3">
      <c r="A84" s="175" t="s">
        <v>39</v>
      </c>
      <c r="B84" s="1795" t="s">
        <v>93</v>
      </c>
      <c r="C84" s="176">
        <v>291</v>
      </c>
      <c r="D84" s="176">
        <v>29</v>
      </c>
      <c r="E84" s="176">
        <v>11.068702290076301</v>
      </c>
      <c r="F84" s="176">
        <v>2.7578476165041401</v>
      </c>
    </row>
    <row r="85" spans="1:6" x14ac:dyDescent="0.3">
      <c r="A85" s="177" t="s">
        <v>39</v>
      </c>
      <c r="B85" s="1795" t="s">
        <v>94</v>
      </c>
      <c r="C85" s="178">
        <v>877</v>
      </c>
      <c r="D85" s="178">
        <v>34</v>
      </c>
      <c r="E85" s="178">
        <v>4.0332147093712898</v>
      </c>
      <c r="F85" s="178">
        <v>8.3114514078148698</v>
      </c>
    </row>
    <row r="86" spans="1:6" x14ac:dyDescent="0.3">
      <c r="A86" s="179" t="s">
        <v>39</v>
      </c>
      <c r="B86" s="1795" t="s">
        <v>95</v>
      </c>
      <c r="C86" s="180">
        <v>1373</v>
      </c>
      <c r="D86" s="180">
        <v>9</v>
      </c>
      <c r="E86" s="180">
        <v>0.65982404692082097</v>
      </c>
      <c r="F86" s="180">
        <v>13.0121126373202</v>
      </c>
    </row>
    <row r="87" spans="1:6" x14ac:dyDescent="0.3">
      <c r="A87" s="181" t="s">
        <v>39</v>
      </c>
      <c r="B87" s="1795" t="s">
        <v>96</v>
      </c>
      <c r="C87" s="182">
        <v>850</v>
      </c>
      <c r="D87" s="182">
        <v>33</v>
      </c>
      <c r="E87" s="182">
        <v>4.0391676866585096</v>
      </c>
      <c r="F87" s="182">
        <v>8.0555686392732504</v>
      </c>
    </row>
    <row r="88" spans="1:6" x14ac:dyDescent="0.3">
      <c r="A88" s="183" t="s">
        <v>39</v>
      </c>
      <c r="B88" s="1795" t="s">
        <v>97</v>
      </c>
      <c r="C88" s="184">
        <v>523</v>
      </c>
      <c r="D88" s="184">
        <v>-24</v>
      </c>
      <c r="E88" s="184">
        <v>-4.3875685557586799</v>
      </c>
      <c r="F88" s="184">
        <v>4.9565439980469499</v>
      </c>
    </row>
    <row r="89" spans="1:6" x14ac:dyDescent="0.3">
      <c r="A89" s="185" t="s">
        <v>98</v>
      </c>
      <c r="B89" s="1795" t="s">
        <v>99</v>
      </c>
      <c r="C89" s="186">
        <v>27</v>
      </c>
      <c r="D89" s="186">
        <v>-2</v>
      </c>
      <c r="E89" s="186">
        <v>-6.8965517241379297</v>
      </c>
      <c r="F89" s="186">
        <v>0.25588276854162101</v>
      </c>
    </row>
    <row r="90" spans="1:6" x14ac:dyDescent="0.3">
      <c r="A90" s="187" t="s">
        <v>98</v>
      </c>
      <c r="B90" s="1795" t="s">
        <v>100</v>
      </c>
      <c r="C90" s="188">
        <v>14</v>
      </c>
      <c r="D90" s="188">
        <v>10</v>
      </c>
      <c r="E90" s="188">
        <v>250</v>
      </c>
      <c r="F90" s="188">
        <v>0.13267995405861799</v>
      </c>
    </row>
    <row r="91" spans="1:6" x14ac:dyDescent="0.3">
      <c r="A91" s="189" t="s">
        <v>98</v>
      </c>
      <c r="B91" s="1795" t="s">
        <v>101</v>
      </c>
      <c r="C91" s="190">
        <v>2</v>
      </c>
      <c r="D91" s="190">
        <v>-8</v>
      </c>
      <c r="E91" s="190">
        <v>-80</v>
      </c>
      <c r="F91" s="190">
        <v>1.8954279151231199E-2</v>
      </c>
    </row>
    <row r="92" spans="1:6" x14ac:dyDescent="0.3">
      <c r="A92" s="191" t="s">
        <v>98</v>
      </c>
      <c r="B92" s="1795" t="s">
        <v>102</v>
      </c>
      <c r="C92" s="192">
        <v>11</v>
      </c>
      <c r="D92" s="192">
        <v>-4</v>
      </c>
      <c r="E92" s="192">
        <v>-26.6666666666667</v>
      </c>
      <c r="F92" s="192">
        <v>0.104248535331771</v>
      </c>
    </row>
    <row r="93" spans="1:6" x14ac:dyDescent="0.3">
      <c r="A93" s="193" t="s">
        <v>103</v>
      </c>
      <c r="B93" s="1795" t="s">
        <v>104</v>
      </c>
      <c r="C93" s="194">
        <v>279</v>
      </c>
      <c r="D93" s="194">
        <v>33</v>
      </c>
      <c r="E93" s="194">
        <v>13.4146341463415</v>
      </c>
      <c r="F93" s="194">
        <v>2.6441219415967501</v>
      </c>
    </row>
    <row r="94" spans="1:6" x14ac:dyDescent="0.3">
      <c r="A94" s="195" t="s">
        <v>103</v>
      </c>
      <c r="B94" s="1795" t="s">
        <v>101</v>
      </c>
      <c r="C94" s="196">
        <v>137</v>
      </c>
      <c r="D94" s="196">
        <v>13</v>
      </c>
      <c r="E94" s="196">
        <v>10.4838709677419</v>
      </c>
      <c r="F94" s="196">
        <v>1.2983681218593399</v>
      </c>
    </row>
    <row r="95" spans="1:6" x14ac:dyDescent="0.3">
      <c r="A95" s="197" t="s">
        <v>103</v>
      </c>
      <c r="B95" s="1795" t="s">
        <v>102</v>
      </c>
      <c r="C95" s="198">
        <v>142</v>
      </c>
      <c r="D95" s="198">
        <v>20</v>
      </c>
      <c r="E95" s="198">
        <v>16.393442622950801</v>
      </c>
      <c r="F95" s="198">
        <v>1.3457538197374099</v>
      </c>
    </row>
    <row r="96" spans="1:6" x14ac:dyDescent="0.3">
      <c r="A96" s="199" t="s">
        <v>105</v>
      </c>
      <c r="B96" s="1795" t="s">
        <v>106</v>
      </c>
      <c r="C96" s="200">
        <v>76</v>
      </c>
      <c r="D96" s="200">
        <v>-33</v>
      </c>
      <c r="E96" s="200">
        <v>-30.275229357798199</v>
      </c>
      <c r="F96" s="200">
        <v>0.72026260774678497</v>
      </c>
    </row>
    <row r="97" spans="1:6" x14ac:dyDescent="0.3">
      <c r="A97" s="201" t="s">
        <v>105</v>
      </c>
      <c r="B97" s="1795" t="s">
        <v>107</v>
      </c>
      <c r="C97" s="202">
        <v>6</v>
      </c>
      <c r="D97" s="202">
        <v>-6</v>
      </c>
      <c r="E97" s="202">
        <v>-50</v>
      </c>
      <c r="F97" s="202">
        <v>5.6862837453693499E-2</v>
      </c>
    </row>
    <row r="98" spans="1:6" x14ac:dyDescent="0.3">
      <c r="A98" s="203" t="s">
        <v>105</v>
      </c>
      <c r="B98" s="1795" t="s">
        <v>102</v>
      </c>
      <c r="C98" s="204">
        <v>70</v>
      </c>
      <c r="D98" s="204">
        <v>-27</v>
      </c>
      <c r="E98" s="204">
        <v>-27.835051546391799</v>
      </c>
      <c r="F98" s="204">
        <v>0.66339977029309105</v>
      </c>
    </row>
    <row r="99" spans="1:6" x14ac:dyDescent="0.3">
      <c r="A99" s="205" t="s">
        <v>108</v>
      </c>
      <c r="B99" s="19" t="s">
        <v>109</v>
      </c>
      <c r="C99" s="206">
        <v>13066</v>
      </c>
      <c r="D99" s="206">
        <v>476</v>
      </c>
      <c r="E99" s="206">
        <v>3.78077839555203</v>
      </c>
      <c r="F99" s="206">
        <v>123.82830569499301</v>
      </c>
    </row>
    <row r="100" spans="1:6" x14ac:dyDescent="0.3">
      <c r="A100" s="207" t="s">
        <v>110</v>
      </c>
      <c r="B100" s="1795" t="s">
        <v>111</v>
      </c>
      <c r="C100" s="208">
        <v>32</v>
      </c>
      <c r="D100" s="208">
        <v>4</v>
      </c>
      <c r="E100" s="208">
        <v>14.285714285714301</v>
      </c>
      <c r="F100" s="208">
        <v>0.30326846641969901</v>
      </c>
    </row>
    <row r="101" spans="1:6" x14ac:dyDescent="0.3">
      <c r="A101" s="209" t="s">
        <v>112</v>
      </c>
      <c r="B101" s="1795" t="s">
        <v>113</v>
      </c>
      <c r="C101" s="210">
        <v>15</v>
      </c>
      <c r="D101" s="210">
        <v>5</v>
      </c>
      <c r="E101" s="210">
        <v>50</v>
      </c>
      <c r="F101" s="210">
        <v>0.14215709363423401</v>
      </c>
    </row>
    <row r="102" spans="1:6" x14ac:dyDescent="0.3">
      <c r="A102" s="211" t="s">
        <v>112</v>
      </c>
      <c r="B102" s="1795" t="s">
        <v>114</v>
      </c>
      <c r="C102" s="212">
        <v>11</v>
      </c>
      <c r="D102" s="212">
        <v>9</v>
      </c>
      <c r="E102" s="212">
        <v>450</v>
      </c>
      <c r="F102" s="212">
        <v>0.104248535331771</v>
      </c>
    </row>
    <row r="103" spans="1:6" x14ac:dyDescent="0.3">
      <c r="A103" s="213" t="s">
        <v>112</v>
      </c>
      <c r="B103" s="1795" t="s">
        <v>115</v>
      </c>
      <c r="C103" s="214">
        <v>0</v>
      </c>
      <c r="D103" s="214">
        <v>0</v>
      </c>
      <c r="E103" s="214" t="s">
        <v>38</v>
      </c>
      <c r="F103" s="214">
        <v>0</v>
      </c>
    </row>
    <row r="104" spans="1:6" x14ac:dyDescent="0.3">
      <c r="A104" s="215" t="s">
        <v>112</v>
      </c>
      <c r="B104" s="1795" t="s">
        <v>116</v>
      </c>
      <c r="C104" s="216">
        <v>11</v>
      </c>
      <c r="D104" s="216">
        <v>9</v>
      </c>
      <c r="E104" s="216">
        <v>450</v>
      </c>
      <c r="F104" s="216">
        <v>0.104248535331771</v>
      </c>
    </row>
    <row r="105" spans="1:6" x14ac:dyDescent="0.3">
      <c r="A105" s="217" t="s">
        <v>112</v>
      </c>
      <c r="B105" s="1795" t="s">
        <v>117</v>
      </c>
      <c r="C105" s="218">
        <v>1</v>
      </c>
      <c r="D105" s="218">
        <v>-2</v>
      </c>
      <c r="E105" s="218">
        <v>-66.6666666666667</v>
      </c>
      <c r="F105" s="218">
        <v>9.4771395756155907E-3</v>
      </c>
    </row>
    <row r="106" spans="1:6" x14ac:dyDescent="0.3">
      <c r="A106" s="219" t="s">
        <v>112</v>
      </c>
      <c r="B106" s="1795" t="s">
        <v>118</v>
      </c>
      <c r="C106" s="220">
        <v>0</v>
      </c>
      <c r="D106" s="220">
        <v>0</v>
      </c>
      <c r="E106" s="220" t="s">
        <v>38</v>
      </c>
      <c r="F106" s="220">
        <v>0</v>
      </c>
    </row>
    <row r="107" spans="1:6" x14ac:dyDescent="0.3">
      <c r="A107" s="221" t="s">
        <v>112</v>
      </c>
      <c r="B107" s="1795" t="s">
        <v>119</v>
      </c>
      <c r="C107" s="222">
        <v>1</v>
      </c>
      <c r="D107" s="222">
        <v>-2</v>
      </c>
      <c r="E107" s="222">
        <v>-66.6666666666667</v>
      </c>
      <c r="F107" s="222">
        <v>9.4771395756155907E-3</v>
      </c>
    </row>
    <row r="108" spans="1:6" x14ac:dyDescent="0.3">
      <c r="A108" s="223" t="s">
        <v>112</v>
      </c>
      <c r="B108" s="1795" t="s">
        <v>120</v>
      </c>
      <c r="C108" s="224">
        <v>0</v>
      </c>
      <c r="D108" s="224">
        <v>0</v>
      </c>
      <c r="E108" s="224" t="s">
        <v>38</v>
      </c>
      <c r="F108" s="224">
        <v>0</v>
      </c>
    </row>
    <row r="109" spans="1:6" x14ac:dyDescent="0.3">
      <c r="A109" s="225" t="s">
        <v>112</v>
      </c>
      <c r="B109" s="1795" t="s">
        <v>121</v>
      </c>
      <c r="C109" s="226">
        <v>0</v>
      </c>
      <c r="D109" s="226">
        <v>0</v>
      </c>
      <c r="E109" s="226" t="s">
        <v>38</v>
      </c>
      <c r="F109" s="226">
        <v>0</v>
      </c>
    </row>
    <row r="110" spans="1:6" x14ac:dyDescent="0.3">
      <c r="A110" s="227" t="s">
        <v>112</v>
      </c>
      <c r="B110" s="1795" t="s">
        <v>122</v>
      </c>
      <c r="C110" s="228">
        <v>0</v>
      </c>
      <c r="D110" s="228">
        <v>0</v>
      </c>
      <c r="E110" s="228" t="s">
        <v>38</v>
      </c>
      <c r="F110" s="228">
        <v>0</v>
      </c>
    </row>
    <row r="111" spans="1:6" x14ac:dyDescent="0.3">
      <c r="A111" s="229" t="s">
        <v>112</v>
      </c>
      <c r="B111" s="1795" t="s">
        <v>123</v>
      </c>
      <c r="C111" s="230">
        <v>0</v>
      </c>
      <c r="D111" s="230">
        <v>0</v>
      </c>
      <c r="E111" s="230" t="s">
        <v>38</v>
      </c>
      <c r="F111" s="230">
        <v>0</v>
      </c>
    </row>
    <row r="112" spans="1:6" x14ac:dyDescent="0.3">
      <c r="A112" s="231" t="s">
        <v>112</v>
      </c>
      <c r="B112" s="1795" t="s">
        <v>124</v>
      </c>
      <c r="C112" s="232">
        <v>0</v>
      </c>
      <c r="D112" s="232">
        <v>0</v>
      </c>
      <c r="E112" s="232" t="s">
        <v>38</v>
      </c>
      <c r="F112" s="232">
        <v>0</v>
      </c>
    </row>
    <row r="113" spans="1:6" x14ac:dyDescent="0.3">
      <c r="A113" s="233" t="s">
        <v>112</v>
      </c>
      <c r="B113" s="1795" t="s">
        <v>125</v>
      </c>
      <c r="C113" s="234">
        <v>0</v>
      </c>
      <c r="D113" s="234">
        <v>0</v>
      </c>
      <c r="E113" s="234" t="s">
        <v>38</v>
      </c>
      <c r="F113" s="234">
        <v>0</v>
      </c>
    </row>
    <row r="114" spans="1:6" x14ac:dyDescent="0.3">
      <c r="A114" s="235" t="s">
        <v>112</v>
      </c>
      <c r="B114" s="1795" t="s">
        <v>126</v>
      </c>
      <c r="C114" s="236">
        <v>0</v>
      </c>
      <c r="D114" s="236">
        <v>0</v>
      </c>
      <c r="E114" s="236" t="s">
        <v>38</v>
      </c>
      <c r="F114" s="236">
        <v>0</v>
      </c>
    </row>
    <row r="115" spans="1:6" x14ac:dyDescent="0.3">
      <c r="A115" s="237" t="s">
        <v>112</v>
      </c>
      <c r="B115" s="1795" t="s">
        <v>127</v>
      </c>
      <c r="C115" s="238">
        <v>0</v>
      </c>
      <c r="D115" s="238">
        <v>0</v>
      </c>
      <c r="E115" s="238" t="s">
        <v>38</v>
      </c>
      <c r="F115" s="238">
        <v>0</v>
      </c>
    </row>
    <row r="116" spans="1:6" x14ac:dyDescent="0.3">
      <c r="A116" s="239" t="s">
        <v>112</v>
      </c>
      <c r="B116" s="1795" t="s">
        <v>128</v>
      </c>
      <c r="C116" s="240">
        <v>0</v>
      </c>
      <c r="D116" s="240">
        <v>0</v>
      </c>
      <c r="E116" s="240" t="s">
        <v>38</v>
      </c>
      <c r="F116" s="240">
        <v>0</v>
      </c>
    </row>
    <row r="117" spans="1:6" x14ac:dyDescent="0.3">
      <c r="A117" s="241" t="s">
        <v>112</v>
      </c>
      <c r="B117" s="1795" t="s">
        <v>129</v>
      </c>
      <c r="C117" s="242">
        <v>3</v>
      </c>
      <c r="D117" s="242">
        <v>-2</v>
      </c>
      <c r="E117" s="242">
        <v>-40</v>
      </c>
      <c r="F117" s="242">
        <v>2.8431418726846801E-2</v>
      </c>
    </row>
    <row r="118" spans="1:6" x14ac:dyDescent="0.3">
      <c r="A118" s="243" t="s">
        <v>112</v>
      </c>
      <c r="B118" s="1795" t="s">
        <v>130</v>
      </c>
      <c r="C118" s="244">
        <v>2</v>
      </c>
      <c r="D118" s="244">
        <v>2</v>
      </c>
      <c r="E118" s="244" t="s">
        <v>38</v>
      </c>
      <c r="F118" s="244">
        <v>1.8954279151231199E-2</v>
      </c>
    </row>
    <row r="119" spans="1:6" x14ac:dyDescent="0.3">
      <c r="A119" s="245" t="s">
        <v>112</v>
      </c>
      <c r="B119" s="1795" t="s">
        <v>131</v>
      </c>
      <c r="C119" s="246">
        <v>1</v>
      </c>
      <c r="D119" s="246">
        <v>-4</v>
      </c>
      <c r="E119" s="246">
        <v>-80</v>
      </c>
      <c r="F119" s="246">
        <v>9.4771395756155907E-3</v>
      </c>
    </row>
    <row r="120" spans="1:6" x14ac:dyDescent="0.3">
      <c r="A120" s="247" t="s">
        <v>132</v>
      </c>
      <c r="B120" s="1795" t="s">
        <v>133</v>
      </c>
      <c r="C120" s="248">
        <v>11</v>
      </c>
      <c r="D120" s="248">
        <v>1</v>
      </c>
      <c r="E120" s="248">
        <v>10</v>
      </c>
      <c r="F120" s="248">
        <v>0.104248535331771</v>
      </c>
    </row>
    <row r="121" spans="1:6" x14ac:dyDescent="0.3">
      <c r="A121" s="249" t="s">
        <v>132</v>
      </c>
      <c r="B121" s="1795" t="s">
        <v>117</v>
      </c>
      <c r="C121" s="250">
        <v>10</v>
      </c>
      <c r="D121" s="250">
        <v>0</v>
      </c>
      <c r="E121" s="250">
        <v>0</v>
      </c>
      <c r="F121" s="250">
        <v>9.4771395756155896E-2</v>
      </c>
    </row>
    <row r="122" spans="1:6" x14ac:dyDescent="0.3">
      <c r="A122" s="251" t="s">
        <v>132</v>
      </c>
      <c r="B122" s="1795" t="s">
        <v>118</v>
      </c>
      <c r="C122" s="252">
        <v>1</v>
      </c>
      <c r="D122" s="252">
        <v>1</v>
      </c>
      <c r="E122" s="252" t="s">
        <v>38</v>
      </c>
      <c r="F122" s="252">
        <v>9.4771395756155907E-3</v>
      </c>
    </row>
    <row r="123" spans="1:6" x14ac:dyDescent="0.3">
      <c r="A123" s="253" t="s">
        <v>132</v>
      </c>
      <c r="B123" s="1795" t="s">
        <v>119</v>
      </c>
      <c r="C123" s="254">
        <v>9</v>
      </c>
      <c r="D123" s="254">
        <v>-1</v>
      </c>
      <c r="E123" s="254">
        <v>-10</v>
      </c>
      <c r="F123" s="254">
        <v>8.5294256180540304E-2</v>
      </c>
    </row>
    <row r="124" spans="1:6" x14ac:dyDescent="0.3">
      <c r="A124" s="255" t="s">
        <v>132</v>
      </c>
      <c r="B124" s="1795" t="s">
        <v>120</v>
      </c>
      <c r="C124" s="256">
        <v>1</v>
      </c>
      <c r="D124" s="256">
        <v>1</v>
      </c>
      <c r="E124" s="256" t="s">
        <v>38</v>
      </c>
      <c r="F124" s="256">
        <v>9.4771395756155907E-3</v>
      </c>
    </row>
    <row r="125" spans="1:6" x14ac:dyDescent="0.3">
      <c r="A125" s="257" t="s">
        <v>132</v>
      </c>
      <c r="B125" s="1795" t="s">
        <v>121</v>
      </c>
      <c r="C125" s="258">
        <v>0</v>
      </c>
      <c r="D125" s="258">
        <v>0</v>
      </c>
      <c r="E125" s="258" t="s">
        <v>38</v>
      </c>
      <c r="F125" s="258">
        <v>0</v>
      </c>
    </row>
    <row r="126" spans="1:6" x14ac:dyDescent="0.3">
      <c r="A126" s="259" t="s">
        <v>132</v>
      </c>
      <c r="B126" s="1795" t="s">
        <v>122</v>
      </c>
      <c r="C126" s="260">
        <v>1</v>
      </c>
      <c r="D126" s="260">
        <v>1</v>
      </c>
      <c r="E126" s="260" t="s">
        <v>38</v>
      </c>
      <c r="F126" s="260">
        <v>9.4771395756155907E-3</v>
      </c>
    </row>
    <row r="127" spans="1:6" x14ac:dyDescent="0.3">
      <c r="A127" s="261" t="s">
        <v>134</v>
      </c>
      <c r="B127" s="1795" t="s">
        <v>135</v>
      </c>
      <c r="C127" s="262">
        <v>132</v>
      </c>
      <c r="D127" s="262">
        <v>-5</v>
      </c>
      <c r="E127" s="262">
        <v>-3.6496350364963499</v>
      </c>
      <c r="F127" s="262">
        <v>1.2509824239812599</v>
      </c>
    </row>
    <row r="128" spans="1:6" x14ac:dyDescent="0.3">
      <c r="A128" s="263" t="s">
        <v>134</v>
      </c>
      <c r="B128" s="1795" t="s">
        <v>23</v>
      </c>
      <c r="C128" s="264">
        <v>39</v>
      </c>
      <c r="D128" s="264">
        <v>11</v>
      </c>
      <c r="E128" s="264">
        <v>39.285714285714299</v>
      </c>
      <c r="F128" s="264">
        <v>0.36960844344900801</v>
      </c>
    </row>
    <row r="129" spans="1:6" x14ac:dyDescent="0.3">
      <c r="A129" s="265" t="s">
        <v>134</v>
      </c>
      <c r="B129" s="1795" t="s">
        <v>24</v>
      </c>
      <c r="C129" s="266">
        <v>15</v>
      </c>
      <c r="D129" s="266">
        <v>0</v>
      </c>
      <c r="E129" s="266">
        <v>0</v>
      </c>
      <c r="F129" s="266">
        <v>0.14215709363423401</v>
      </c>
    </row>
    <row r="130" spans="1:6" x14ac:dyDescent="0.3">
      <c r="A130" s="267" t="s">
        <v>134</v>
      </c>
      <c r="B130" s="1795" t="s">
        <v>25</v>
      </c>
      <c r="C130" s="268">
        <v>24</v>
      </c>
      <c r="D130" s="268">
        <v>11</v>
      </c>
      <c r="E130" s="268">
        <v>84.615384615384599</v>
      </c>
      <c r="F130" s="268">
        <v>0.227451349814774</v>
      </c>
    </row>
    <row r="131" spans="1:6" x14ac:dyDescent="0.3">
      <c r="A131" s="269" t="s">
        <v>134</v>
      </c>
      <c r="B131" s="1795" t="s">
        <v>26</v>
      </c>
      <c r="C131" s="270">
        <v>65</v>
      </c>
      <c r="D131" s="270">
        <v>-4</v>
      </c>
      <c r="E131" s="270">
        <v>-5.7971014492753596</v>
      </c>
      <c r="F131" s="270">
        <v>0.61601407241501305</v>
      </c>
    </row>
    <row r="132" spans="1:6" x14ac:dyDescent="0.3">
      <c r="A132" s="271" t="s">
        <v>134</v>
      </c>
      <c r="B132" s="1795" t="s">
        <v>27</v>
      </c>
      <c r="C132" s="272">
        <v>35</v>
      </c>
      <c r="D132" s="272">
        <v>14</v>
      </c>
      <c r="E132" s="272">
        <v>66.6666666666667</v>
      </c>
      <c r="F132" s="272">
        <v>0.33169988514654503</v>
      </c>
    </row>
    <row r="133" spans="1:6" x14ac:dyDescent="0.3">
      <c r="A133" s="273" t="s">
        <v>134</v>
      </c>
      <c r="B133" s="1795" t="s">
        <v>28</v>
      </c>
      <c r="C133" s="274">
        <v>5</v>
      </c>
      <c r="D133" s="274">
        <v>-2</v>
      </c>
      <c r="E133" s="274">
        <v>-28.571428571428601</v>
      </c>
      <c r="F133" s="274">
        <v>4.73856978780779E-2</v>
      </c>
    </row>
    <row r="134" spans="1:6" x14ac:dyDescent="0.3">
      <c r="A134" s="275" t="s">
        <v>134</v>
      </c>
      <c r="B134" s="1795" t="s">
        <v>29</v>
      </c>
      <c r="C134" s="276">
        <v>10</v>
      </c>
      <c r="D134" s="276">
        <v>-3</v>
      </c>
      <c r="E134" s="276">
        <v>-23.076923076923102</v>
      </c>
      <c r="F134" s="276">
        <v>9.4771395756155896E-2</v>
      </c>
    </row>
    <row r="135" spans="1:6" x14ac:dyDescent="0.3">
      <c r="A135" s="277" t="s">
        <v>134</v>
      </c>
      <c r="B135" s="1795" t="s">
        <v>30</v>
      </c>
      <c r="C135" s="278">
        <v>15</v>
      </c>
      <c r="D135" s="278">
        <v>-13</v>
      </c>
      <c r="E135" s="278">
        <v>-46.428571428571402</v>
      </c>
      <c r="F135" s="278">
        <v>0.14215709363423401</v>
      </c>
    </row>
    <row r="136" spans="1:6" x14ac:dyDescent="0.3">
      <c r="A136" s="279" t="s">
        <v>134</v>
      </c>
      <c r="B136" s="1795" t="s">
        <v>31</v>
      </c>
      <c r="C136" s="280">
        <v>28</v>
      </c>
      <c r="D136" s="280">
        <v>-12</v>
      </c>
      <c r="E136" s="280">
        <v>-30</v>
      </c>
      <c r="F136" s="280">
        <v>0.26535990811723598</v>
      </c>
    </row>
    <row r="137" spans="1:6" x14ac:dyDescent="0.3">
      <c r="A137" s="281" t="s">
        <v>134</v>
      </c>
      <c r="B137" s="1795" t="s">
        <v>32</v>
      </c>
      <c r="C137" s="282">
        <v>0</v>
      </c>
      <c r="D137" s="282">
        <v>-1</v>
      </c>
      <c r="E137" s="282">
        <v>-100</v>
      </c>
      <c r="F137" s="282">
        <v>0</v>
      </c>
    </row>
    <row r="138" spans="1:6" x14ac:dyDescent="0.3">
      <c r="A138" s="283" t="s">
        <v>134</v>
      </c>
      <c r="B138" s="1795" t="s">
        <v>33</v>
      </c>
      <c r="C138" s="284">
        <v>3</v>
      </c>
      <c r="D138" s="284">
        <v>1</v>
      </c>
      <c r="E138" s="284">
        <v>50</v>
      </c>
      <c r="F138" s="284">
        <v>2.8431418726846801E-2</v>
      </c>
    </row>
    <row r="139" spans="1:6" x14ac:dyDescent="0.3">
      <c r="A139" s="285" t="s">
        <v>134</v>
      </c>
      <c r="B139" s="1795" t="s">
        <v>34</v>
      </c>
      <c r="C139" s="286">
        <v>9</v>
      </c>
      <c r="D139" s="286">
        <v>-6</v>
      </c>
      <c r="E139" s="286">
        <v>-40</v>
      </c>
      <c r="F139" s="286">
        <v>8.5294256180540304E-2</v>
      </c>
    </row>
    <row r="140" spans="1:6" x14ac:dyDescent="0.3">
      <c r="A140" s="287" t="s">
        <v>134</v>
      </c>
      <c r="B140" s="1795" t="s">
        <v>35</v>
      </c>
      <c r="C140" s="288">
        <v>16</v>
      </c>
      <c r="D140" s="288">
        <v>-6</v>
      </c>
      <c r="E140" s="288">
        <v>-27.272727272727298</v>
      </c>
      <c r="F140" s="288">
        <v>0.15163423320984901</v>
      </c>
    </row>
    <row r="141" spans="1:6" x14ac:dyDescent="0.3">
      <c r="A141" s="289" t="s">
        <v>136</v>
      </c>
      <c r="B141" s="1795" t="s">
        <v>137</v>
      </c>
      <c r="C141" s="290">
        <v>889</v>
      </c>
      <c r="D141" s="290">
        <v>114</v>
      </c>
      <c r="E141" s="290">
        <v>14.709677419354801</v>
      </c>
      <c r="F141" s="290">
        <v>8.4251770827222607</v>
      </c>
    </row>
    <row r="142" spans="1:6" x14ac:dyDescent="0.3">
      <c r="A142" s="291" t="s">
        <v>136</v>
      </c>
      <c r="B142" s="1795" t="s">
        <v>24</v>
      </c>
      <c r="C142" s="292">
        <v>440</v>
      </c>
      <c r="D142" s="292">
        <v>82</v>
      </c>
      <c r="E142" s="292">
        <v>22.905027932960898</v>
      </c>
      <c r="F142" s="292">
        <v>4.1699414132708599</v>
      </c>
    </row>
    <row r="143" spans="1:6" x14ac:dyDescent="0.3">
      <c r="A143" s="293" t="s">
        <v>136</v>
      </c>
      <c r="B143" s="1795" t="s">
        <v>25</v>
      </c>
      <c r="C143" s="294">
        <v>449</v>
      </c>
      <c r="D143" s="294">
        <v>32</v>
      </c>
      <c r="E143" s="294">
        <v>7.6738609112709799</v>
      </c>
      <c r="F143" s="294">
        <v>4.2552356694514</v>
      </c>
    </row>
    <row r="144" spans="1:6" x14ac:dyDescent="0.3">
      <c r="A144" s="295" t="s">
        <v>138</v>
      </c>
      <c r="B144" s="1795" t="s">
        <v>139</v>
      </c>
      <c r="C144" s="296">
        <v>56</v>
      </c>
      <c r="D144" s="296">
        <v>-30</v>
      </c>
      <c r="E144" s="296">
        <v>-34.883720930232599</v>
      </c>
      <c r="F144" s="296">
        <v>0.53071981623447295</v>
      </c>
    </row>
    <row r="145" spans="1:6" x14ac:dyDescent="0.3">
      <c r="A145" s="297" t="s">
        <v>138</v>
      </c>
      <c r="B145" s="1795" t="s">
        <v>23</v>
      </c>
      <c r="C145" s="298">
        <v>22</v>
      </c>
      <c r="D145" s="298">
        <v>-4</v>
      </c>
      <c r="E145" s="298">
        <v>-15.384615384615399</v>
      </c>
      <c r="F145" s="298">
        <v>0.208497070663543</v>
      </c>
    </row>
    <row r="146" spans="1:6" x14ac:dyDescent="0.3">
      <c r="A146" s="299" t="s">
        <v>138</v>
      </c>
      <c r="B146" s="1795" t="s">
        <v>24</v>
      </c>
      <c r="C146" s="300">
        <v>9</v>
      </c>
      <c r="D146" s="300">
        <v>-1</v>
      </c>
      <c r="E146" s="300">
        <v>-10</v>
      </c>
      <c r="F146" s="300">
        <v>8.5294256180540304E-2</v>
      </c>
    </row>
    <row r="147" spans="1:6" x14ac:dyDescent="0.3">
      <c r="A147" s="301" t="s">
        <v>138</v>
      </c>
      <c r="B147" s="1795" t="s">
        <v>25</v>
      </c>
      <c r="C147" s="302">
        <v>13</v>
      </c>
      <c r="D147" s="302">
        <v>-3</v>
      </c>
      <c r="E147" s="302">
        <v>-18.75</v>
      </c>
      <c r="F147" s="302">
        <v>0.12320281448300301</v>
      </c>
    </row>
    <row r="148" spans="1:6" x14ac:dyDescent="0.3">
      <c r="A148" s="303" t="s">
        <v>138</v>
      </c>
      <c r="B148" s="1795" t="s">
        <v>26</v>
      </c>
      <c r="C148" s="304">
        <v>20</v>
      </c>
      <c r="D148" s="304">
        <v>-11</v>
      </c>
      <c r="E148" s="304">
        <v>-35.4838709677419</v>
      </c>
      <c r="F148" s="304">
        <v>0.18954279151231199</v>
      </c>
    </row>
    <row r="149" spans="1:6" x14ac:dyDescent="0.3">
      <c r="A149" s="305" t="s">
        <v>138</v>
      </c>
      <c r="B149" s="1795" t="s">
        <v>27</v>
      </c>
      <c r="C149" s="306">
        <v>9</v>
      </c>
      <c r="D149" s="306">
        <v>-5</v>
      </c>
      <c r="E149" s="306">
        <v>-35.714285714285701</v>
      </c>
      <c r="F149" s="306">
        <v>8.5294256180540304E-2</v>
      </c>
    </row>
    <row r="150" spans="1:6" x14ac:dyDescent="0.3">
      <c r="A150" s="307" t="s">
        <v>138</v>
      </c>
      <c r="B150" s="1795" t="s">
        <v>28</v>
      </c>
      <c r="C150" s="308">
        <v>1</v>
      </c>
      <c r="D150" s="308">
        <v>0</v>
      </c>
      <c r="E150" s="308">
        <v>0</v>
      </c>
      <c r="F150" s="308">
        <v>9.4771395756155907E-3</v>
      </c>
    </row>
    <row r="151" spans="1:6" x14ac:dyDescent="0.3">
      <c r="A151" s="309" t="s">
        <v>138</v>
      </c>
      <c r="B151" s="1795" t="s">
        <v>29</v>
      </c>
      <c r="C151" s="310">
        <v>4</v>
      </c>
      <c r="D151" s="310">
        <v>-6</v>
      </c>
      <c r="E151" s="310">
        <v>-60</v>
      </c>
      <c r="F151" s="310">
        <v>3.79085583024623E-2</v>
      </c>
    </row>
    <row r="152" spans="1:6" x14ac:dyDescent="0.3">
      <c r="A152" s="311" t="s">
        <v>138</v>
      </c>
      <c r="B152" s="1795" t="s">
        <v>30</v>
      </c>
      <c r="C152" s="312">
        <v>6</v>
      </c>
      <c r="D152" s="312">
        <v>0</v>
      </c>
      <c r="E152" s="312">
        <v>0</v>
      </c>
      <c r="F152" s="312">
        <v>5.6862837453693499E-2</v>
      </c>
    </row>
    <row r="153" spans="1:6" x14ac:dyDescent="0.3">
      <c r="A153" s="313" t="s">
        <v>138</v>
      </c>
      <c r="B153" s="1795" t="s">
        <v>31</v>
      </c>
      <c r="C153" s="314">
        <v>14</v>
      </c>
      <c r="D153" s="314">
        <v>-15</v>
      </c>
      <c r="E153" s="314">
        <v>-51.724137931034498</v>
      </c>
      <c r="F153" s="314">
        <v>0.13267995405861799</v>
      </c>
    </row>
    <row r="154" spans="1:6" x14ac:dyDescent="0.3">
      <c r="A154" s="315" t="s">
        <v>138</v>
      </c>
      <c r="B154" s="1795" t="s">
        <v>32</v>
      </c>
      <c r="C154" s="316">
        <v>0</v>
      </c>
      <c r="D154" s="316">
        <v>0</v>
      </c>
      <c r="E154" s="316" t="s">
        <v>38</v>
      </c>
      <c r="F154" s="316">
        <v>0</v>
      </c>
    </row>
    <row r="155" spans="1:6" x14ac:dyDescent="0.3">
      <c r="A155" s="317" t="s">
        <v>138</v>
      </c>
      <c r="B155" s="1795" t="s">
        <v>33</v>
      </c>
      <c r="C155" s="318">
        <v>1</v>
      </c>
      <c r="D155" s="318">
        <v>1</v>
      </c>
      <c r="E155" s="318" t="s">
        <v>38</v>
      </c>
      <c r="F155" s="318">
        <v>9.4771395756155907E-3</v>
      </c>
    </row>
    <row r="156" spans="1:6" x14ac:dyDescent="0.3">
      <c r="A156" s="319" t="s">
        <v>138</v>
      </c>
      <c r="B156" s="1795" t="s">
        <v>34</v>
      </c>
      <c r="C156" s="320">
        <v>3</v>
      </c>
      <c r="D156" s="320">
        <v>-6</v>
      </c>
      <c r="E156" s="320">
        <v>-66.6666666666667</v>
      </c>
      <c r="F156" s="320">
        <v>2.8431418726846801E-2</v>
      </c>
    </row>
    <row r="157" spans="1:6" x14ac:dyDescent="0.3">
      <c r="A157" s="321" t="s">
        <v>138</v>
      </c>
      <c r="B157" s="1795" t="s">
        <v>35</v>
      </c>
      <c r="C157" s="322">
        <v>10</v>
      </c>
      <c r="D157" s="322">
        <v>-10</v>
      </c>
      <c r="E157" s="322">
        <v>-50</v>
      </c>
      <c r="F157" s="322">
        <v>9.4771395756155896E-2</v>
      </c>
    </row>
    <row r="158" spans="1:6" x14ac:dyDescent="0.3">
      <c r="A158" s="323" t="s">
        <v>140</v>
      </c>
      <c r="B158" s="1795" t="s">
        <v>141</v>
      </c>
      <c r="C158" s="324">
        <v>51</v>
      </c>
      <c r="D158" s="324">
        <v>-1</v>
      </c>
      <c r="E158" s="324">
        <v>-1.92307692307692</v>
      </c>
      <c r="F158" s="324">
        <v>0.483334118356395</v>
      </c>
    </row>
    <row r="159" spans="1:6" x14ac:dyDescent="0.3">
      <c r="A159" s="325" t="s">
        <v>140</v>
      </c>
      <c r="B159" s="1795" t="s">
        <v>23</v>
      </c>
      <c r="C159" s="326">
        <v>35</v>
      </c>
      <c r="D159" s="326">
        <v>-7</v>
      </c>
      <c r="E159" s="326">
        <v>-16.6666666666667</v>
      </c>
      <c r="F159" s="326">
        <v>0.33169988514654503</v>
      </c>
    </row>
    <row r="160" spans="1:6" x14ac:dyDescent="0.3">
      <c r="A160" s="327" t="s">
        <v>140</v>
      </c>
      <c r="B160" s="1795" t="s">
        <v>24</v>
      </c>
      <c r="C160" s="328">
        <v>12</v>
      </c>
      <c r="D160" s="328">
        <v>-4</v>
      </c>
      <c r="E160" s="328">
        <v>-25</v>
      </c>
      <c r="F160" s="328">
        <v>0.113725674907387</v>
      </c>
    </row>
    <row r="161" spans="1:6" x14ac:dyDescent="0.3">
      <c r="A161" s="329" t="s">
        <v>140</v>
      </c>
      <c r="B161" s="1795" t="s">
        <v>25</v>
      </c>
      <c r="C161" s="330">
        <v>23</v>
      </c>
      <c r="D161" s="330">
        <v>-3</v>
      </c>
      <c r="E161" s="330">
        <v>-11.538461538461499</v>
      </c>
      <c r="F161" s="330">
        <v>0.217974210239158</v>
      </c>
    </row>
    <row r="162" spans="1:6" x14ac:dyDescent="0.3">
      <c r="A162" s="331" t="s">
        <v>140</v>
      </c>
      <c r="B162" s="1795" t="s">
        <v>26</v>
      </c>
      <c r="C162" s="332">
        <v>11</v>
      </c>
      <c r="D162" s="332">
        <v>7</v>
      </c>
      <c r="E162" s="332">
        <v>175</v>
      </c>
      <c r="F162" s="332">
        <v>0.104248535331771</v>
      </c>
    </row>
    <row r="163" spans="1:6" x14ac:dyDescent="0.3">
      <c r="A163" s="333" t="s">
        <v>140</v>
      </c>
      <c r="B163" s="1795" t="s">
        <v>27</v>
      </c>
      <c r="C163" s="334">
        <v>7</v>
      </c>
      <c r="D163" s="334">
        <v>5</v>
      </c>
      <c r="E163" s="334">
        <v>250</v>
      </c>
      <c r="F163" s="334">
        <v>6.6339977029309105E-2</v>
      </c>
    </row>
    <row r="164" spans="1:6" x14ac:dyDescent="0.3">
      <c r="A164" s="335" t="s">
        <v>140</v>
      </c>
      <c r="B164" s="1795" t="s">
        <v>28</v>
      </c>
      <c r="C164" s="336">
        <v>4</v>
      </c>
      <c r="D164" s="336">
        <v>2</v>
      </c>
      <c r="E164" s="336">
        <v>100</v>
      </c>
      <c r="F164" s="336">
        <v>3.79085583024623E-2</v>
      </c>
    </row>
    <row r="165" spans="1:6" x14ac:dyDescent="0.3">
      <c r="A165" s="337" t="s">
        <v>140</v>
      </c>
      <c r="B165" s="1795" t="s">
        <v>31</v>
      </c>
      <c r="C165" s="338">
        <v>5</v>
      </c>
      <c r="D165" s="338">
        <v>-1</v>
      </c>
      <c r="E165" s="338">
        <v>-16.6666666666667</v>
      </c>
      <c r="F165" s="338">
        <v>4.73856978780779E-2</v>
      </c>
    </row>
    <row r="166" spans="1:6" x14ac:dyDescent="0.3">
      <c r="A166" s="339" t="s">
        <v>140</v>
      </c>
      <c r="B166" s="1795" t="s">
        <v>32</v>
      </c>
      <c r="C166" s="340">
        <v>5</v>
      </c>
      <c r="D166" s="340">
        <v>-1</v>
      </c>
      <c r="E166" s="340">
        <v>-16.6666666666667</v>
      </c>
      <c r="F166" s="340">
        <v>4.73856978780779E-2</v>
      </c>
    </row>
    <row r="167" spans="1:6" x14ac:dyDescent="0.3">
      <c r="A167" s="341" t="s">
        <v>140</v>
      </c>
      <c r="B167" s="1795" t="s">
        <v>33</v>
      </c>
      <c r="C167" s="342">
        <v>0</v>
      </c>
      <c r="D167" s="342">
        <v>0</v>
      </c>
      <c r="E167" s="342" t="s">
        <v>38</v>
      </c>
      <c r="F167" s="342">
        <v>0</v>
      </c>
    </row>
    <row r="168" spans="1:6" x14ac:dyDescent="0.3">
      <c r="A168" s="343" t="s">
        <v>142</v>
      </c>
      <c r="B168" s="1795" t="s">
        <v>143</v>
      </c>
      <c r="C168" s="344">
        <v>62</v>
      </c>
      <c r="D168" s="344">
        <v>-14</v>
      </c>
      <c r="E168" s="344">
        <v>-18.421052631578899</v>
      </c>
      <c r="F168" s="344">
        <v>0.58758265368816598</v>
      </c>
    </row>
    <row r="169" spans="1:6" x14ac:dyDescent="0.3">
      <c r="A169" s="345" t="s">
        <v>144</v>
      </c>
      <c r="B169" s="1795" t="s">
        <v>145</v>
      </c>
      <c r="C169" s="346">
        <v>21</v>
      </c>
      <c r="D169" s="346">
        <v>-18</v>
      </c>
      <c r="E169" s="346">
        <v>-46.153846153846203</v>
      </c>
      <c r="F169" s="346">
        <v>0.19901993108792701</v>
      </c>
    </row>
    <row r="170" spans="1:6" x14ac:dyDescent="0.3">
      <c r="A170" s="347" t="s">
        <v>144</v>
      </c>
      <c r="B170" s="1795" t="s">
        <v>23</v>
      </c>
      <c r="C170" s="348">
        <v>0</v>
      </c>
      <c r="D170" s="348">
        <v>-3</v>
      </c>
      <c r="E170" s="348">
        <v>-100</v>
      </c>
      <c r="F170" s="348">
        <v>0</v>
      </c>
    </row>
    <row r="171" spans="1:6" x14ac:dyDescent="0.3">
      <c r="A171" s="349" t="s">
        <v>144</v>
      </c>
      <c r="B171" s="1795" t="s">
        <v>24</v>
      </c>
      <c r="C171" s="350">
        <v>0</v>
      </c>
      <c r="D171" s="350">
        <v>-3</v>
      </c>
      <c r="E171" s="350">
        <v>-100</v>
      </c>
      <c r="F171" s="350">
        <v>0</v>
      </c>
    </row>
    <row r="172" spans="1:6" x14ac:dyDescent="0.3">
      <c r="A172" s="351" t="s">
        <v>144</v>
      </c>
      <c r="B172" s="1795" t="s">
        <v>25</v>
      </c>
      <c r="C172" s="352">
        <v>0</v>
      </c>
      <c r="D172" s="352">
        <v>0</v>
      </c>
      <c r="E172" s="352" t="s">
        <v>38</v>
      </c>
      <c r="F172" s="352">
        <v>0</v>
      </c>
    </row>
    <row r="173" spans="1:6" x14ac:dyDescent="0.3">
      <c r="A173" s="353" t="s">
        <v>144</v>
      </c>
      <c r="B173" s="1795" t="s">
        <v>26</v>
      </c>
      <c r="C173" s="354">
        <v>15</v>
      </c>
      <c r="D173" s="354">
        <v>0</v>
      </c>
      <c r="E173" s="354">
        <v>0</v>
      </c>
      <c r="F173" s="354">
        <v>0.14215709363423401</v>
      </c>
    </row>
    <row r="174" spans="1:6" x14ac:dyDescent="0.3">
      <c r="A174" s="355" t="s">
        <v>144</v>
      </c>
      <c r="B174" s="1795" t="s">
        <v>27</v>
      </c>
      <c r="C174" s="356">
        <v>9</v>
      </c>
      <c r="D174" s="356">
        <v>5</v>
      </c>
      <c r="E174" s="356">
        <v>125</v>
      </c>
      <c r="F174" s="356">
        <v>8.5294256180540304E-2</v>
      </c>
    </row>
    <row r="175" spans="1:6" x14ac:dyDescent="0.3">
      <c r="A175" s="357" t="s">
        <v>144</v>
      </c>
      <c r="B175" s="1795" t="s">
        <v>28</v>
      </c>
      <c r="C175" s="358">
        <v>0</v>
      </c>
      <c r="D175" s="358">
        <v>0</v>
      </c>
      <c r="E175" s="358" t="s">
        <v>38</v>
      </c>
      <c r="F175" s="358">
        <v>0</v>
      </c>
    </row>
    <row r="176" spans="1:6" x14ac:dyDescent="0.3">
      <c r="A176" s="359" t="s">
        <v>144</v>
      </c>
      <c r="B176" s="1795" t="s">
        <v>29</v>
      </c>
      <c r="C176" s="360">
        <v>1</v>
      </c>
      <c r="D176" s="360">
        <v>-7</v>
      </c>
      <c r="E176" s="360">
        <v>-87.5</v>
      </c>
      <c r="F176" s="360">
        <v>9.4771395756155907E-3</v>
      </c>
    </row>
    <row r="177" spans="1:6" x14ac:dyDescent="0.3">
      <c r="A177" s="361" t="s">
        <v>144</v>
      </c>
      <c r="B177" s="1795" t="s">
        <v>30</v>
      </c>
      <c r="C177" s="362">
        <v>5</v>
      </c>
      <c r="D177" s="362">
        <v>2</v>
      </c>
      <c r="E177" s="362">
        <v>66.6666666666667</v>
      </c>
      <c r="F177" s="362">
        <v>4.73856978780779E-2</v>
      </c>
    </row>
    <row r="178" spans="1:6" x14ac:dyDescent="0.3">
      <c r="A178" s="363" t="s">
        <v>144</v>
      </c>
      <c r="B178" s="1795" t="s">
        <v>31</v>
      </c>
      <c r="C178" s="364">
        <v>6</v>
      </c>
      <c r="D178" s="364">
        <v>-15</v>
      </c>
      <c r="E178" s="364">
        <v>-71.428571428571402</v>
      </c>
      <c r="F178" s="364">
        <v>5.6862837453693499E-2</v>
      </c>
    </row>
    <row r="179" spans="1:6" x14ac:dyDescent="0.3">
      <c r="A179" s="365" t="s">
        <v>144</v>
      </c>
      <c r="B179" s="1795" t="s">
        <v>32</v>
      </c>
      <c r="C179" s="366">
        <v>1</v>
      </c>
      <c r="D179" s="366">
        <v>0</v>
      </c>
      <c r="E179" s="366">
        <v>0</v>
      </c>
      <c r="F179" s="366">
        <v>9.4771395756155907E-3</v>
      </c>
    </row>
    <row r="180" spans="1:6" x14ac:dyDescent="0.3">
      <c r="A180" s="367" t="s">
        <v>144</v>
      </c>
      <c r="B180" s="1795" t="s">
        <v>33</v>
      </c>
      <c r="C180" s="368">
        <v>1</v>
      </c>
      <c r="D180" s="368">
        <v>-1</v>
      </c>
      <c r="E180" s="368">
        <v>-50</v>
      </c>
      <c r="F180" s="368">
        <v>9.4771395756155907E-3</v>
      </c>
    </row>
    <row r="181" spans="1:6" x14ac:dyDescent="0.3">
      <c r="A181" s="369" t="s">
        <v>144</v>
      </c>
      <c r="B181" s="1795" t="s">
        <v>34</v>
      </c>
      <c r="C181" s="370">
        <v>2</v>
      </c>
      <c r="D181" s="370">
        <v>-5</v>
      </c>
      <c r="E181" s="370">
        <v>-71.428571428571402</v>
      </c>
      <c r="F181" s="370">
        <v>1.8954279151231199E-2</v>
      </c>
    </row>
    <row r="182" spans="1:6" x14ac:dyDescent="0.3">
      <c r="A182" s="371" t="s">
        <v>144</v>
      </c>
      <c r="B182" s="1795" t="s">
        <v>35</v>
      </c>
      <c r="C182" s="372">
        <v>2</v>
      </c>
      <c r="D182" s="372">
        <v>-9</v>
      </c>
      <c r="E182" s="372">
        <v>-81.818181818181799</v>
      </c>
      <c r="F182" s="372">
        <v>1.8954279151231199E-2</v>
      </c>
    </row>
    <row r="183" spans="1:6" x14ac:dyDescent="0.3">
      <c r="A183" s="373" t="s">
        <v>146</v>
      </c>
      <c r="B183" s="1795" t="s">
        <v>147</v>
      </c>
      <c r="C183" s="374">
        <v>3</v>
      </c>
      <c r="D183" s="374">
        <v>0</v>
      </c>
      <c r="E183" s="374">
        <v>0</v>
      </c>
      <c r="F183" s="374">
        <v>2.8431418726846801E-2</v>
      </c>
    </row>
    <row r="184" spans="1:6" x14ac:dyDescent="0.3">
      <c r="A184" s="375" t="s">
        <v>148</v>
      </c>
      <c r="B184" s="1795" t="s">
        <v>149</v>
      </c>
      <c r="C184" s="376">
        <v>4</v>
      </c>
      <c r="D184" s="376">
        <v>1</v>
      </c>
      <c r="E184" s="376">
        <v>33.3333333333333</v>
      </c>
      <c r="F184" s="376">
        <v>3.79085583024623E-2</v>
      </c>
    </row>
    <row r="185" spans="1:6" x14ac:dyDescent="0.3">
      <c r="A185" s="377" t="s">
        <v>150</v>
      </c>
      <c r="B185" s="1795" t="s">
        <v>151</v>
      </c>
      <c r="C185" s="378">
        <v>0</v>
      </c>
      <c r="D185" s="378">
        <v>-2</v>
      </c>
      <c r="E185" s="378">
        <v>-100</v>
      </c>
      <c r="F185" s="378">
        <v>0</v>
      </c>
    </row>
    <row r="186" spans="1:6" x14ac:dyDescent="0.3">
      <c r="A186" s="379" t="s">
        <v>152</v>
      </c>
      <c r="B186" s="1795" t="s">
        <v>153</v>
      </c>
      <c r="C186" s="380">
        <v>4</v>
      </c>
      <c r="D186" s="380">
        <v>-1</v>
      </c>
      <c r="E186" s="380">
        <v>-20</v>
      </c>
      <c r="F186" s="380">
        <v>3.79085583024623E-2</v>
      </c>
    </row>
    <row r="187" spans="1:6" x14ac:dyDescent="0.3">
      <c r="A187" s="381" t="s">
        <v>152</v>
      </c>
      <c r="B187" s="1795" t="s">
        <v>23</v>
      </c>
      <c r="C187" s="382">
        <v>2</v>
      </c>
      <c r="D187" s="382">
        <v>-2</v>
      </c>
      <c r="E187" s="382">
        <v>-50</v>
      </c>
      <c r="F187" s="382">
        <v>1.8954279151231199E-2</v>
      </c>
    </row>
    <row r="188" spans="1:6" x14ac:dyDescent="0.3">
      <c r="A188" s="383" t="s">
        <v>152</v>
      </c>
      <c r="B188" s="1795" t="s">
        <v>24</v>
      </c>
      <c r="C188" s="384">
        <v>2</v>
      </c>
      <c r="D188" s="384">
        <v>-2</v>
      </c>
      <c r="E188" s="384">
        <v>-50</v>
      </c>
      <c r="F188" s="384">
        <v>1.8954279151231199E-2</v>
      </c>
    </row>
    <row r="189" spans="1:6" x14ac:dyDescent="0.3">
      <c r="A189" s="385" t="s">
        <v>152</v>
      </c>
      <c r="B189" s="1795" t="s">
        <v>25</v>
      </c>
      <c r="C189" s="386">
        <v>0</v>
      </c>
      <c r="D189" s="386">
        <v>0</v>
      </c>
      <c r="E189" s="386" t="s">
        <v>38</v>
      </c>
      <c r="F189" s="386">
        <v>0</v>
      </c>
    </row>
    <row r="190" spans="1:6" x14ac:dyDescent="0.3">
      <c r="A190" s="387" t="s">
        <v>152</v>
      </c>
      <c r="B190" s="1795" t="s">
        <v>26</v>
      </c>
      <c r="C190" s="388">
        <v>2</v>
      </c>
      <c r="D190" s="388">
        <v>1</v>
      </c>
      <c r="E190" s="388">
        <v>100</v>
      </c>
      <c r="F190" s="388">
        <v>1.8954279151231199E-2</v>
      </c>
    </row>
    <row r="191" spans="1:6" x14ac:dyDescent="0.3">
      <c r="A191" s="389" t="s">
        <v>152</v>
      </c>
      <c r="B191" s="1795" t="s">
        <v>31</v>
      </c>
      <c r="C191" s="390">
        <v>0</v>
      </c>
      <c r="D191" s="390">
        <v>0</v>
      </c>
      <c r="E191" s="390" t="s">
        <v>38</v>
      </c>
      <c r="F191" s="390">
        <v>0</v>
      </c>
    </row>
    <row r="192" spans="1:6" x14ac:dyDescent="0.3">
      <c r="A192" s="391" t="s">
        <v>154</v>
      </c>
      <c r="B192" s="1795" t="s">
        <v>155</v>
      </c>
      <c r="C192" s="392">
        <v>3774</v>
      </c>
      <c r="D192" s="392">
        <v>56</v>
      </c>
      <c r="E192" s="392">
        <v>1.5061861215707399</v>
      </c>
      <c r="F192" s="392">
        <v>35.766724758373201</v>
      </c>
    </row>
    <row r="193" spans="1:6" x14ac:dyDescent="0.3">
      <c r="A193" s="393" t="s">
        <v>154</v>
      </c>
      <c r="B193" s="1795" t="s">
        <v>23</v>
      </c>
      <c r="C193" s="394">
        <v>608</v>
      </c>
      <c r="D193" s="394">
        <v>85</v>
      </c>
      <c r="E193" s="394">
        <v>16.252390057361399</v>
      </c>
      <c r="F193" s="394">
        <v>5.7621008619742797</v>
      </c>
    </row>
    <row r="194" spans="1:6" x14ac:dyDescent="0.3">
      <c r="A194" s="395" t="s">
        <v>154</v>
      </c>
      <c r="B194" s="1795" t="s">
        <v>24</v>
      </c>
      <c r="C194" s="396">
        <v>256</v>
      </c>
      <c r="D194" s="396">
        <v>55</v>
      </c>
      <c r="E194" s="396">
        <v>27.363184079602</v>
      </c>
      <c r="F194" s="396">
        <v>2.4261477313575899</v>
      </c>
    </row>
    <row r="195" spans="1:6" x14ac:dyDescent="0.3">
      <c r="A195" s="397" t="s">
        <v>154</v>
      </c>
      <c r="B195" s="1795" t="s">
        <v>156</v>
      </c>
      <c r="C195" s="398">
        <v>91</v>
      </c>
      <c r="D195" s="398">
        <v>27</v>
      </c>
      <c r="E195" s="398">
        <v>42.1875</v>
      </c>
      <c r="F195" s="398">
        <v>0.86241970138101798</v>
      </c>
    </row>
    <row r="196" spans="1:6" x14ac:dyDescent="0.3">
      <c r="A196" s="399" t="s">
        <v>154</v>
      </c>
      <c r="B196" s="1795" t="s">
        <v>157</v>
      </c>
      <c r="C196" s="400">
        <v>165</v>
      </c>
      <c r="D196" s="400">
        <v>28</v>
      </c>
      <c r="E196" s="400">
        <v>20.437956204379599</v>
      </c>
      <c r="F196" s="400">
        <v>1.5637280299765699</v>
      </c>
    </row>
    <row r="197" spans="1:6" x14ac:dyDescent="0.3">
      <c r="A197" s="401" t="s">
        <v>154</v>
      </c>
      <c r="B197" s="1795" t="s">
        <v>25</v>
      </c>
      <c r="C197" s="402">
        <v>352</v>
      </c>
      <c r="D197" s="402">
        <v>30</v>
      </c>
      <c r="E197" s="402">
        <v>9.3167701863354004</v>
      </c>
      <c r="F197" s="402">
        <v>3.3359531306166899</v>
      </c>
    </row>
    <row r="198" spans="1:6" x14ac:dyDescent="0.3">
      <c r="A198" s="403" t="s">
        <v>154</v>
      </c>
      <c r="B198" s="1795" t="s">
        <v>158</v>
      </c>
      <c r="C198" s="404">
        <v>68</v>
      </c>
      <c r="D198" s="404">
        <v>-2</v>
      </c>
      <c r="E198" s="404">
        <v>-2.8571428571428599</v>
      </c>
      <c r="F198" s="404">
        <v>0.64444549114186001</v>
      </c>
    </row>
    <row r="199" spans="1:6" x14ac:dyDescent="0.3">
      <c r="A199" s="405" t="s">
        <v>154</v>
      </c>
      <c r="B199" s="1795" t="s">
        <v>159</v>
      </c>
      <c r="C199" s="406">
        <v>284</v>
      </c>
      <c r="D199" s="406">
        <v>32</v>
      </c>
      <c r="E199" s="406">
        <v>12.698412698412699</v>
      </c>
      <c r="F199" s="406">
        <v>2.6915076394748301</v>
      </c>
    </row>
    <row r="200" spans="1:6" x14ac:dyDescent="0.3">
      <c r="A200" s="407" t="s">
        <v>154</v>
      </c>
      <c r="B200" s="1795" t="s">
        <v>26</v>
      </c>
      <c r="C200" s="408">
        <v>1475</v>
      </c>
      <c r="D200" s="408">
        <v>-33</v>
      </c>
      <c r="E200" s="408">
        <v>-2.1883289124668401</v>
      </c>
      <c r="F200" s="408">
        <v>13.978780874032999</v>
      </c>
    </row>
    <row r="201" spans="1:6" x14ac:dyDescent="0.3">
      <c r="A201" s="409" t="s">
        <v>154</v>
      </c>
      <c r="B201" s="1795" t="s">
        <v>160</v>
      </c>
      <c r="C201" s="410">
        <v>547</v>
      </c>
      <c r="D201" s="410">
        <v>-22</v>
      </c>
      <c r="E201" s="410">
        <v>-3.8664323374340901</v>
      </c>
      <c r="F201" s="410">
        <v>5.18399534786173</v>
      </c>
    </row>
    <row r="202" spans="1:6" x14ac:dyDescent="0.3">
      <c r="A202" s="411" t="s">
        <v>154</v>
      </c>
      <c r="B202" s="1795" t="s">
        <v>161</v>
      </c>
      <c r="C202" s="412">
        <v>65</v>
      </c>
      <c r="D202" s="412">
        <v>-6</v>
      </c>
      <c r="E202" s="412">
        <v>-8.4507042253521103</v>
      </c>
      <c r="F202" s="412">
        <v>0.61601407241501305</v>
      </c>
    </row>
    <row r="203" spans="1:6" x14ac:dyDescent="0.3">
      <c r="A203" s="413" t="s">
        <v>154</v>
      </c>
      <c r="B203" s="1795" t="s">
        <v>162</v>
      </c>
      <c r="C203" s="414">
        <v>482</v>
      </c>
      <c r="D203" s="414">
        <v>-16</v>
      </c>
      <c r="E203" s="414">
        <v>-3.2128514056224899</v>
      </c>
      <c r="F203" s="414">
        <v>4.5679812754467104</v>
      </c>
    </row>
    <row r="204" spans="1:6" x14ac:dyDescent="0.3">
      <c r="A204" s="415" t="s">
        <v>154</v>
      </c>
      <c r="B204" s="1795" t="s">
        <v>163</v>
      </c>
      <c r="C204" s="416">
        <v>150</v>
      </c>
      <c r="D204" s="416">
        <v>-27</v>
      </c>
      <c r="E204" s="416">
        <v>-15.254237288135601</v>
      </c>
      <c r="F204" s="416">
        <v>1.4215709363423401</v>
      </c>
    </row>
    <row r="205" spans="1:6" x14ac:dyDescent="0.3">
      <c r="A205" s="417" t="s">
        <v>154</v>
      </c>
      <c r="B205" s="1795" t="s">
        <v>903</v>
      </c>
      <c r="C205" s="418">
        <v>23</v>
      </c>
      <c r="D205" s="418">
        <v>0</v>
      </c>
      <c r="E205" s="418">
        <v>0</v>
      </c>
      <c r="F205" s="418">
        <v>0.217974210239158</v>
      </c>
    </row>
    <row r="206" spans="1:6" x14ac:dyDescent="0.3">
      <c r="A206" s="419" t="s">
        <v>154</v>
      </c>
      <c r="B206" s="1795" t="s">
        <v>904</v>
      </c>
      <c r="C206" s="420">
        <v>127</v>
      </c>
      <c r="D206" s="420">
        <v>-27</v>
      </c>
      <c r="E206" s="420">
        <v>-17.5324675324675</v>
      </c>
      <c r="F206" s="420">
        <v>1.2035967261031799</v>
      </c>
    </row>
    <row r="207" spans="1:6" x14ac:dyDescent="0.3">
      <c r="A207" s="421" t="s">
        <v>154</v>
      </c>
      <c r="B207" s="1795" t="s">
        <v>29</v>
      </c>
      <c r="C207" s="422">
        <v>405</v>
      </c>
      <c r="D207" s="422">
        <v>22</v>
      </c>
      <c r="E207" s="422">
        <v>5.7441253263707601</v>
      </c>
      <c r="F207" s="422">
        <v>3.8382415281243101</v>
      </c>
    </row>
    <row r="208" spans="1:6" x14ac:dyDescent="0.3">
      <c r="A208" s="423" t="s">
        <v>154</v>
      </c>
      <c r="B208" s="1795" t="s">
        <v>905</v>
      </c>
      <c r="C208" s="424">
        <v>97</v>
      </c>
      <c r="D208" s="424">
        <v>21</v>
      </c>
      <c r="E208" s="424">
        <v>27.6315789473684</v>
      </c>
      <c r="F208" s="424">
        <v>0.919282538834712</v>
      </c>
    </row>
    <row r="209" spans="1:6" x14ac:dyDescent="0.3">
      <c r="A209" s="425" t="s">
        <v>154</v>
      </c>
      <c r="B209" s="1795" t="s">
        <v>906</v>
      </c>
      <c r="C209" s="426">
        <v>308</v>
      </c>
      <c r="D209" s="426">
        <v>1</v>
      </c>
      <c r="E209" s="426">
        <v>0.325732899022801</v>
      </c>
      <c r="F209" s="426">
        <v>2.9189589892896</v>
      </c>
    </row>
    <row r="210" spans="1:6" x14ac:dyDescent="0.3">
      <c r="A210" s="427" t="s">
        <v>154</v>
      </c>
      <c r="B210" s="1795" t="s">
        <v>30</v>
      </c>
      <c r="C210" s="428">
        <v>373</v>
      </c>
      <c r="D210" s="428">
        <v>-6</v>
      </c>
      <c r="E210" s="428">
        <v>-1.5831134564643801</v>
      </c>
      <c r="F210" s="428">
        <v>3.5349730617046098</v>
      </c>
    </row>
    <row r="211" spans="1:6" x14ac:dyDescent="0.3">
      <c r="A211" s="429" t="s">
        <v>154</v>
      </c>
      <c r="B211" s="1795" t="s">
        <v>164</v>
      </c>
      <c r="C211" s="430">
        <v>85</v>
      </c>
      <c r="D211" s="430">
        <v>-4</v>
      </c>
      <c r="E211" s="430">
        <v>-4.4943820224719104</v>
      </c>
      <c r="F211" s="430">
        <v>0.80555686392732495</v>
      </c>
    </row>
    <row r="212" spans="1:6" x14ac:dyDescent="0.3">
      <c r="A212" s="431" t="s">
        <v>154</v>
      </c>
      <c r="B212" s="1795" t="s">
        <v>165</v>
      </c>
      <c r="C212" s="432">
        <v>288</v>
      </c>
      <c r="D212" s="432">
        <v>-2</v>
      </c>
      <c r="E212" s="432">
        <v>-0.68965517241379304</v>
      </c>
      <c r="F212" s="432">
        <v>2.7294161977772902</v>
      </c>
    </row>
    <row r="213" spans="1:6" x14ac:dyDescent="0.3">
      <c r="A213" s="433" t="s">
        <v>154</v>
      </c>
      <c r="B213" s="1795" t="s">
        <v>31</v>
      </c>
      <c r="C213" s="434">
        <v>1431</v>
      </c>
      <c r="D213" s="434">
        <v>-65</v>
      </c>
      <c r="E213" s="434">
        <v>-4.3449197860962601</v>
      </c>
      <c r="F213" s="434">
        <v>13.561786732705899</v>
      </c>
    </row>
    <row r="214" spans="1:6" x14ac:dyDescent="0.3">
      <c r="A214" s="435" t="s">
        <v>154</v>
      </c>
      <c r="B214" s="1795" t="s">
        <v>32</v>
      </c>
      <c r="C214" s="436">
        <v>77</v>
      </c>
      <c r="D214" s="436">
        <v>-22</v>
      </c>
      <c r="E214" s="436">
        <v>-22.2222222222222</v>
      </c>
      <c r="F214" s="436">
        <v>0.72973974732239999</v>
      </c>
    </row>
    <row r="215" spans="1:6" x14ac:dyDescent="0.3">
      <c r="A215" s="437" t="s">
        <v>154</v>
      </c>
      <c r="B215" s="1795" t="s">
        <v>166</v>
      </c>
      <c r="C215" s="438">
        <v>14</v>
      </c>
      <c r="D215" s="438">
        <v>0</v>
      </c>
      <c r="E215" s="438">
        <v>0</v>
      </c>
      <c r="F215" s="438">
        <v>0.13267995405861799</v>
      </c>
    </row>
    <row r="216" spans="1:6" x14ac:dyDescent="0.3">
      <c r="A216" s="439" t="s">
        <v>154</v>
      </c>
      <c r="B216" s="1795" t="s">
        <v>167</v>
      </c>
      <c r="C216" s="440">
        <v>63</v>
      </c>
      <c r="D216" s="440">
        <v>-22</v>
      </c>
      <c r="E216" s="440">
        <v>-25.882352941176499</v>
      </c>
      <c r="F216" s="440">
        <v>0.597059793263782</v>
      </c>
    </row>
    <row r="217" spans="1:6" x14ac:dyDescent="0.3">
      <c r="A217" s="441" t="s">
        <v>154</v>
      </c>
      <c r="B217" s="1795" t="s">
        <v>33</v>
      </c>
      <c r="C217" s="442">
        <v>137</v>
      </c>
      <c r="D217" s="442">
        <v>0</v>
      </c>
      <c r="E217" s="442">
        <v>0</v>
      </c>
      <c r="F217" s="442">
        <v>1.2983681218593399</v>
      </c>
    </row>
    <row r="218" spans="1:6" x14ac:dyDescent="0.3">
      <c r="A218" s="443" t="s">
        <v>154</v>
      </c>
      <c r="B218" s="1795" t="s">
        <v>168</v>
      </c>
      <c r="C218" s="444">
        <v>14</v>
      </c>
      <c r="D218" s="444">
        <v>-1</v>
      </c>
      <c r="E218" s="444">
        <v>-6.6666666666666696</v>
      </c>
      <c r="F218" s="444">
        <v>0.13267995405861799</v>
      </c>
    </row>
    <row r="219" spans="1:6" x14ac:dyDescent="0.3">
      <c r="A219" s="445" t="s">
        <v>154</v>
      </c>
      <c r="B219" s="1795" t="s">
        <v>907</v>
      </c>
      <c r="C219" s="446">
        <v>123</v>
      </c>
      <c r="D219" s="446">
        <v>1</v>
      </c>
      <c r="E219" s="446">
        <v>0.81967213114754101</v>
      </c>
      <c r="F219" s="446">
        <v>1.16568816780072</v>
      </c>
    </row>
    <row r="220" spans="1:6" x14ac:dyDescent="0.3">
      <c r="A220" s="447" t="s">
        <v>154</v>
      </c>
      <c r="B220" s="1795" t="s">
        <v>34</v>
      </c>
      <c r="C220" s="448">
        <v>488</v>
      </c>
      <c r="D220" s="448">
        <v>-37</v>
      </c>
      <c r="E220" s="448">
        <v>-7.0476190476190501</v>
      </c>
      <c r="F220" s="448">
        <v>4.6248441129004103</v>
      </c>
    </row>
    <row r="221" spans="1:6" x14ac:dyDescent="0.3">
      <c r="A221" s="449" t="s">
        <v>154</v>
      </c>
      <c r="B221" s="1795" t="s">
        <v>908</v>
      </c>
      <c r="C221" s="450">
        <v>87</v>
      </c>
      <c r="D221" s="450">
        <v>5</v>
      </c>
      <c r="E221" s="450">
        <v>6.0975609756097597</v>
      </c>
      <c r="F221" s="450">
        <v>0.824511143078556</v>
      </c>
    </row>
    <row r="222" spans="1:6" x14ac:dyDescent="0.3">
      <c r="A222" s="451" t="s">
        <v>154</v>
      </c>
      <c r="B222" s="1795" t="s">
        <v>909</v>
      </c>
      <c r="C222" s="452">
        <v>401</v>
      </c>
      <c r="D222" s="452">
        <v>-42</v>
      </c>
      <c r="E222" s="452">
        <v>-9.4808126410835207</v>
      </c>
      <c r="F222" s="452">
        <v>3.80033296982185</v>
      </c>
    </row>
    <row r="223" spans="1:6" x14ac:dyDescent="0.3">
      <c r="A223" s="453" t="s">
        <v>154</v>
      </c>
      <c r="B223" s="1795" t="s">
        <v>35</v>
      </c>
      <c r="C223" s="454">
        <v>729</v>
      </c>
      <c r="D223" s="454">
        <v>-6</v>
      </c>
      <c r="E223" s="454">
        <v>-0.81632653061224503</v>
      </c>
      <c r="F223" s="454">
        <v>6.9088347506237602</v>
      </c>
    </row>
    <row r="224" spans="1:6" x14ac:dyDescent="0.3">
      <c r="A224" s="455" t="s">
        <v>154</v>
      </c>
      <c r="B224" s="1795" t="s">
        <v>169</v>
      </c>
      <c r="C224" s="456">
        <v>115</v>
      </c>
      <c r="D224" s="456">
        <v>-1</v>
      </c>
      <c r="E224" s="456">
        <v>-0.86206896551724099</v>
      </c>
      <c r="F224" s="456">
        <v>1.0898710511957901</v>
      </c>
    </row>
    <row r="225" spans="1:6" x14ac:dyDescent="0.3">
      <c r="A225" s="457" t="s">
        <v>154</v>
      </c>
      <c r="B225" s="1795" t="s">
        <v>170</v>
      </c>
      <c r="C225" s="458">
        <v>614</v>
      </c>
      <c r="D225" s="458">
        <v>-5</v>
      </c>
      <c r="E225" s="458">
        <v>-0.80775444264943497</v>
      </c>
      <c r="F225" s="458">
        <v>5.8189636994279699</v>
      </c>
    </row>
    <row r="226" spans="1:6" x14ac:dyDescent="0.3">
      <c r="A226" s="459" t="s">
        <v>154</v>
      </c>
      <c r="B226" s="1795" t="s">
        <v>171</v>
      </c>
      <c r="C226" s="460">
        <v>260</v>
      </c>
      <c r="D226" s="460">
        <v>69</v>
      </c>
      <c r="E226" s="460">
        <v>36.125654450261798</v>
      </c>
      <c r="F226" s="460">
        <v>2.46405628966005</v>
      </c>
    </row>
    <row r="227" spans="1:6" x14ac:dyDescent="0.3">
      <c r="A227" s="461" t="s">
        <v>154</v>
      </c>
      <c r="B227" s="1795" t="s">
        <v>172</v>
      </c>
      <c r="C227" s="462">
        <v>83</v>
      </c>
      <c r="D227" s="462">
        <v>31</v>
      </c>
      <c r="E227" s="462">
        <v>59.615384615384599</v>
      </c>
      <c r="F227" s="462">
        <v>0.78660258477609402</v>
      </c>
    </row>
    <row r="228" spans="1:6" x14ac:dyDescent="0.3">
      <c r="A228" s="463" t="s">
        <v>154</v>
      </c>
      <c r="B228" s="1795" t="s">
        <v>173</v>
      </c>
      <c r="C228" s="464">
        <v>177</v>
      </c>
      <c r="D228" s="464">
        <v>38</v>
      </c>
      <c r="E228" s="464">
        <v>27.3381294964029</v>
      </c>
      <c r="F228" s="464">
        <v>1.67745370488396</v>
      </c>
    </row>
    <row r="229" spans="1:6" x14ac:dyDescent="0.3">
      <c r="A229" s="465" t="s">
        <v>174</v>
      </c>
      <c r="B229" s="1795" t="s">
        <v>175</v>
      </c>
      <c r="C229" s="466">
        <v>867</v>
      </c>
      <c r="D229" s="466">
        <v>18</v>
      </c>
      <c r="E229" s="466">
        <v>2.1201413427561802</v>
      </c>
      <c r="F229" s="466">
        <v>8.2166800120587098</v>
      </c>
    </row>
    <row r="230" spans="1:6" x14ac:dyDescent="0.3">
      <c r="A230" s="467" t="s">
        <v>176</v>
      </c>
      <c r="B230" s="1795" t="s">
        <v>177</v>
      </c>
      <c r="C230" s="468">
        <v>93</v>
      </c>
      <c r="D230" s="468">
        <v>45</v>
      </c>
      <c r="E230" s="468">
        <v>93.75</v>
      </c>
      <c r="F230" s="468">
        <v>0.88137398053224902</v>
      </c>
    </row>
    <row r="231" spans="1:6" x14ac:dyDescent="0.3">
      <c r="A231" s="469" t="s">
        <v>178</v>
      </c>
      <c r="B231" s="1795" t="s">
        <v>179</v>
      </c>
      <c r="C231" s="470">
        <v>1347</v>
      </c>
      <c r="D231" s="470">
        <v>119</v>
      </c>
      <c r="E231" s="470">
        <v>9.6905537459283408</v>
      </c>
      <c r="F231" s="470">
        <v>12.7657070083542</v>
      </c>
    </row>
    <row r="232" spans="1:6" x14ac:dyDescent="0.3">
      <c r="A232" s="471" t="s">
        <v>178</v>
      </c>
      <c r="B232" s="1795" t="s">
        <v>23</v>
      </c>
      <c r="C232" s="472">
        <v>39</v>
      </c>
      <c r="D232" s="472">
        <v>14</v>
      </c>
      <c r="E232" s="472">
        <v>56</v>
      </c>
      <c r="F232" s="472">
        <v>0.36960844344900801</v>
      </c>
    </row>
    <row r="233" spans="1:6" x14ac:dyDescent="0.3">
      <c r="A233" s="473" t="s">
        <v>178</v>
      </c>
      <c r="B233" s="1795" t="s">
        <v>24</v>
      </c>
      <c r="C233" s="474">
        <v>21</v>
      </c>
      <c r="D233" s="474">
        <v>10</v>
      </c>
      <c r="E233" s="474">
        <v>90.909090909090907</v>
      </c>
      <c r="F233" s="474">
        <v>0.19901993108792701</v>
      </c>
    </row>
    <row r="234" spans="1:6" x14ac:dyDescent="0.3">
      <c r="A234" s="475" t="s">
        <v>178</v>
      </c>
      <c r="B234" s="1795" t="s">
        <v>25</v>
      </c>
      <c r="C234" s="476">
        <v>18</v>
      </c>
      <c r="D234" s="476">
        <v>4</v>
      </c>
      <c r="E234" s="476">
        <v>28.571428571428601</v>
      </c>
      <c r="F234" s="476">
        <v>0.170588512361081</v>
      </c>
    </row>
    <row r="235" spans="1:6" x14ac:dyDescent="0.3">
      <c r="A235" s="477" t="s">
        <v>178</v>
      </c>
      <c r="B235" s="1795" t="s">
        <v>26</v>
      </c>
      <c r="C235" s="478">
        <v>606</v>
      </c>
      <c r="D235" s="478">
        <v>73</v>
      </c>
      <c r="E235" s="478">
        <v>13.6960600375235</v>
      </c>
      <c r="F235" s="478">
        <v>5.7431465828230399</v>
      </c>
    </row>
    <row r="236" spans="1:6" x14ac:dyDescent="0.3">
      <c r="A236" s="479" t="s">
        <v>178</v>
      </c>
      <c r="B236" s="1795" t="s">
        <v>31</v>
      </c>
      <c r="C236" s="480">
        <v>702</v>
      </c>
      <c r="D236" s="480">
        <v>32</v>
      </c>
      <c r="E236" s="480">
        <v>4.7761194029850804</v>
      </c>
      <c r="F236" s="480">
        <v>6.6529519820821399</v>
      </c>
    </row>
    <row r="237" spans="1:6" x14ac:dyDescent="0.3">
      <c r="A237" s="481" t="s">
        <v>180</v>
      </c>
      <c r="B237" s="1795" t="s">
        <v>181</v>
      </c>
      <c r="C237" s="482">
        <v>189</v>
      </c>
      <c r="D237" s="482">
        <v>12</v>
      </c>
      <c r="E237" s="482">
        <v>6.7796610169491496</v>
      </c>
      <c r="F237" s="482">
        <v>1.79117937979135</v>
      </c>
    </row>
    <row r="238" spans="1:6" x14ac:dyDescent="0.3">
      <c r="A238" s="483" t="s">
        <v>180</v>
      </c>
      <c r="B238" s="1795" t="s">
        <v>23</v>
      </c>
      <c r="C238" s="484">
        <v>111</v>
      </c>
      <c r="D238" s="484">
        <v>39</v>
      </c>
      <c r="E238" s="484">
        <v>54.1666666666667</v>
      </c>
      <c r="F238" s="484">
        <v>1.05196249289333</v>
      </c>
    </row>
    <row r="239" spans="1:6" x14ac:dyDescent="0.3">
      <c r="A239" s="485" t="s">
        <v>180</v>
      </c>
      <c r="B239" s="1795" t="s">
        <v>24</v>
      </c>
      <c r="C239" s="486">
        <v>64</v>
      </c>
      <c r="D239" s="486">
        <v>19</v>
      </c>
      <c r="E239" s="486">
        <v>42.2222222222222</v>
      </c>
      <c r="F239" s="486">
        <v>0.60653693283939702</v>
      </c>
    </row>
    <row r="240" spans="1:6" x14ac:dyDescent="0.3">
      <c r="A240" s="487" t="s">
        <v>180</v>
      </c>
      <c r="B240" s="1795" t="s">
        <v>25</v>
      </c>
      <c r="C240" s="488">
        <v>47</v>
      </c>
      <c r="D240" s="488">
        <v>20</v>
      </c>
      <c r="E240" s="488">
        <v>74.074074074074105</v>
      </c>
      <c r="F240" s="488">
        <v>0.44542556005393302</v>
      </c>
    </row>
    <row r="241" spans="1:6" x14ac:dyDescent="0.3">
      <c r="A241" s="489" t="s">
        <v>180</v>
      </c>
      <c r="B241" s="1795" t="s">
        <v>26</v>
      </c>
      <c r="C241" s="490">
        <v>49</v>
      </c>
      <c r="D241" s="490">
        <v>-11</v>
      </c>
      <c r="E241" s="490">
        <v>-18.3333333333333</v>
      </c>
      <c r="F241" s="490">
        <v>0.46437983920516401</v>
      </c>
    </row>
    <row r="242" spans="1:6" x14ac:dyDescent="0.3">
      <c r="A242" s="491" t="s">
        <v>180</v>
      </c>
      <c r="B242" s="1795" t="s">
        <v>27</v>
      </c>
      <c r="C242" s="492">
        <v>20</v>
      </c>
      <c r="D242" s="492">
        <v>-6</v>
      </c>
      <c r="E242" s="492">
        <v>-23.076923076923102</v>
      </c>
      <c r="F242" s="492">
        <v>0.18954279151231199</v>
      </c>
    </row>
    <row r="243" spans="1:6" x14ac:dyDescent="0.3">
      <c r="A243" s="493" t="s">
        <v>180</v>
      </c>
      <c r="B243" s="1795" t="s">
        <v>28</v>
      </c>
      <c r="C243" s="494">
        <v>0</v>
      </c>
      <c r="D243" s="494">
        <v>-1</v>
      </c>
      <c r="E243" s="494">
        <v>-100</v>
      </c>
      <c r="F243" s="494">
        <v>0</v>
      </c>
    </row>
    <row r="244" spans="1:6" x14ac:dyDescent="0.3">
      <c r="A244" s="495" t="s">
        <v>180</v>
      </c>
      <c r="B244" s="1795" t="s">
        <v>29</v>
      </c>
      <c r="C244" s="496">
        <v>14</v>
      </c>
      <c r="D244" s="496">
        <v>-8</v>
      </c>
      <c r="E244" s="496">
        <v>-36.363636363636402</v>
      </c>
      <c r="F244" s="496">
        <v>0.13267995405861799</v>
      </c>
    </row>
    <row r="245" spans="1:6" x14ac:dyDescent="0.3">
      <c r="A245" s="497" t="s">
        <v>180</v>
      </c>
      <c r="B245" s="1795" t="s">
        <v>30</v>
      </c>
      <c r="C245" s="498">
        <v>15</v>
      </c>
      <c r="D245" s="498">
        <v>4</v>
      </c>
      <c r="E245" s="498">
        <v>36.363636363636402</v>
      </c>
      <c r="F245" s="498">
        <v>0.14215709363423401</v>
      </c>
    </row>
    <row r="246" spans="1:6" x14ac:dyDescent="0.3">
      <c r="A246" s="499" t="s">
        <v>180</v>
      </c>
      <c r="B246" s="1795" t="s">
        <v>31</v>
      </c>
      <c r="C246" s="500">
        <v>29</v>
      </c>
      <c r="D246" s="500">
        <v>-16</v>
      </c>
      <c r="E246" s="500">
        <v>-35.5555555555556</v>
      </c>
      <c r="F246" s="500">
        <v>0.274837047692852</v>
      </c>
    </row>
    <row r="247" spans="1:6" x14ac:dyDescent="0.3">
      <c r="A247" s="501" t="s">
        <v>180</v>
      </c>
      <c r="B247" s="1795" t="s">
        <v>32</v>
      </c>
      <c r="C247" s="502">
        <v>1</v>
      </c>
      <c r="D247" s="502">
        <v>-1</v>
      </c>
      <c r="E247" s="502">
        <v>-50</v>
      </c>
      <c r="F247" s="502">
        <v>9.4771395756155907E-3</v>
      </c>
    </row>
    <row r="248" spans="1:6" x14ac:dyDescent="0.3">
      <c r="A248" s="503" t="s">
        <v>180</v>
      </c>
      <c r="B248" s="1795" t="s">
        <v>33</v>
      </c>
      <c r="C248" s="504">
        <v>0</v>
      </c>
      <c r="D248" s="504">
        <v>-3</v>
      </c>
      <c r="E248" s="504">
        <v>-100</v>
      </c>
      <c r="F248" s="504">
        <v>0</v>
      </c>
    </row>
    <row r="249" spans="1:6" x14ac:dyDescent="0.3">
      <c r="A249" s="505" t="s">
        <v>180</v>
      </c>
      <c r="B249" s="1795" t="s">
        <v>34</v>
      </c>
      <c r="C249" s="506">
        <v>8</v>
      </c>
      <c r="D249" s="506">
        <v>-6</v>
      </c>
      <c r="E249" s="506">
        <v>-42.857142857142897</v>
      </c>
      <c r="F249" s="506">
        <v>7.5817116604924698E-2</v>
      </c>
    </row>
    <row r="250" spans="1:6" x14ac:dyDescent="0.3">
      <c r="A250" s="507" t="s">
        <v>180</v>
      </c>
      <c r="B250" s="1795" t="s">
        <v>35</v>
      </c>
      <c r="C250" s="508">
        <v>20</v>
      </c>
      <c r="D250" s="508">
        <v>-6</v>
      </c>
      <c r="E250" s="508">
        <v>-23.076923076923102</v>
      </c>
      <c r="F250" s="508">
        <v>0.18954279151231199</v>
      </c>
    </row>
    <row r="251" spans="1:6" x14ac:dyDescent="0.3">
      <c r="A251" s="509" t="s">
        <v>182</v>
      </c>
      <c r="B251" s="1795" t="s">
        <v>183</v>
      </c>
      <c r="C251" s="510">
        <v>4734</v>
      </c>
      <c r="D251" s="510">
        <v>308</v>
      </c>
      <c r="E251" s="510">
        <v>6.9588793492995897</v>
      </c>
      <c r="F251" s="510">
        <v>44.864778750964199</v>
      </c>
    </row>
    <row r="252" spans="1:6" x14ac:dyDescent="0.3">
      <c r="A252" s="511" t="s">
        <v>182</v>
      </c>
      <c r="B252" s="1795" t="s">
        <v>23</v>
      </c>
      <c r="C252" s="512">
        <v>482</v>
      </c>
      <c r="D252" s="512">
        <v>41</v>
      </c>
      <c r="E252" s="512">
        <v>9.2970521541950095</v>
      </c>
      <c r="F252" s="512">
        <v>4.5679812754467104</v>
      </c>
    </row>
    <row r="253" spans="1:6" x14ac:dyDescent="0.3">
      <c r="A253" s="513" t="s">
        <v>182</v>
      </c>
      <c r="B253" s="1795" t="s">
        <v>24</v>
      </c>
      <c r="C253" s="514">
        <v>246</v>
      </c>
      <c r="D253" s="514">
        <v>1</v>
      </c>
      <c r="E253" s="514">
        <v>0.40816326530612201</v>
      </c>
      <c r="F253" s="514">
        <v>2.3313763356014299</v>
      </c>
    </row>
    <row r="254" spans="1:6" x14ac:dyDescent="0.3">
      <c r="A254" s="515" t="s">
        <v>182</v>
      </c>
      <c r="B254" s="1795" t="s">
        <v>25</v>
      </c>
      <c r="C254" s="516">
        <v>236</v>
      </c>
      <c r="D254" s="516">
        <v>40</v>
      </c>
      <c r="E254" s="516">
        <v>20.408163265306101</v>
      </c>
      <c r="F254" s="516">
        <v>2.2366049398452801</v>
      </c>
    </row>
    <row r="255" spans="1:6" x14ac:dyDescent="0.3">
      <c r="A255" s="517" t="s">
        <v>182</v>
      </c>
      <c r="B255" s="1795" t="s">
        <v>26</v>
      </c>
      <c r="C255" s="518">
        <v>2560</v>
      </c>
      <c r="D255" s="518">
        <v>234</v>
      </c>
      <c r="E255" s="518">
        <v>10.060189165950099</v>
      </c>
      <c r="F255" s="518">
        <v>24.261477313575899</v>
      </c>
    </row>
    <row r="256" spans="1:6" x14ac:dyDescent="0.3">
      <c r="A256" s="519" t="s">
        <v>182</v>
      </c>
      <c r="B256" s="1795" t="s">
        <v>27</v>
      </c>
      <c r="C256" s="520">
        <v>568</v>
      </c>
      <c r="D256" s="520">
        <v>69</v>
      </c>
      <c r="E256" s="520">
        <v>13.8276553106212</v>
      </c>
      <c r="F256" s="520">
        <v>5.3830152789496504</v>
      </c>
    </row>
    <row r="257" spans="1:6" x14ac:dyDescent="0.3">
      <c r="A257" s="521" t="s">
        <v>182</v>
      </c>
      <c r="B257" s="1795" t="s">
        <v>28</v>
      </c>
      <c r="C257" s="522">
        <v>143</v>
      </c>
      <c r="D257" s="522">
        <v>27</v>
      </c>
      <c r="E257" s="522">
        <v>23.275862068965498</v>
      </c>
      <c r="F257" s="522">
        <v>1.3552309593130301</v>
      </c>
    </row>
    <row r="258" spans="1:6" x14ac:dyDescent="0.3">
      <c r="A258" s="523" t="s">
        <v>182</v>
      </c>
      <c r="B258" s="1795" t="s">
        <v>29</v>
      </c>
      <c r="C258" s="524">
        <v>633</v>
      </c>
      <c r="D258" s="524">
        <v>8</v>
      </c>
      <c r="E258" s="524">
        <v>1.28</v>
      </c>
      <c r="F258" s="524">
        <v>5.99902935136467</v>
      </c>
    </row>
    <row r="259" spans="1:6" x14ac:dyDescent="0.3">
      <c r="A259" s="525" t="s">
        <v>182</v>
      </c>
      <c r="B259" s="1795" t="s">
        <v>30</v>
      </c>
      <c r="C259" s="526">
        <v>1216</v>
      </c>
      <c r="D259" s="526">
        <v>130</v>
      </c>
      <c r="E259" s="526">
        <v>11.9705340699816</v>
      </c>
      <c r="F259" s="526">
        <v>11.5242017239486</v>
      </c>
    </row>
    <row r="260" spans="1:6" x14ac:dyDescent="0.3">
      <c r="A260" s="527" t="s">
        <v>182</v>
      </c>
      <c r="B260" s="1795" t="s">
        <v>31</v>
      </c>
      <c r="C260" s="528">
        <v>1474</v>
      </c>
      <c r="D260" s="528">
        <v>27</v>
      </c>
      <c r="E260" s="528">
        <v>1.86592950932965</v>
      </c>
      <c r="F260" s="528">
        <v>13.9693037344574</v>
      </c>
    </row>
    <row r="261" spans="1:6" x14ac:dyDescent="0.3">
      <c r="A261" s="529" t="s">
        <v>182</v>
      </c>
      <c r="B261" s="1795" t="s">
        <v>32</v>
      </c>
      <c r="C261" s="530">
        <v>129</v>
      </c>
      <c r="D261" s="530">
        <v>1</v>
      </c>
      <c r="E261" s="530">
        <v>0.78125</v>
      </c>
      <c r="F261" s="530">
        <v>1.22255100525441</v>
      </c>
    </row>
    <row r="262" spans="1:6" x14ac:dyDescent="0.3">
      <c r="A262" s="531" t="s">
        <v>182</v>
      </c>
      <c r="B262" s="1795" t="s">
        <v>33</v>
      </c>
      <c r="C262" s="532">
        <v>67</v>
      </c>
      <c r="D262" s="532">
        <v>4</v>
      </c>
      <c r="E262" s="532">
        <v>6.3492063492063497</v>
      </c>
      <c r="F262" s="532">
        <v>0.63496835156624398</v>
      </c>
    </row>
    <row r="263" spans="1:6" x14ac:dyDescent="0.3">
      <c r="A263" s="533" t="s">
        <v>182</v>
      </c>
      <c r="B263" s="1795" t="s">
        <v>34</v>
      </c>
      <c r="C263" s="534">
        <v>341</v>
      </c>
      <c r="D263" s="534">
        <v>-12</v>
      </c>
      <c r="E263" s="534">
        <v>-3.3994334277620402</v>
      </c>
      <c r="F263" s="534">
        <v>3.2317045952849099</v>
      </c>
    </row>
    <row r="264" spans="1:6" x14ac:dyDescent="0.3">
      <c r="A264" s="535" t="s">
        <v>182</v>
      </c>
      <c r="B264" s="1795" t="s">
        <v>35</v>
      </c>
      <c r="C264" s="536">
        <v>937</v>
      </c>
      <c r="D264" s="536">
        <v>34</v>
      </c>
      <c r="E264" s="536">
        <v>3.7652270210409702</v>
      </c>
      <c r="F264" s="536">
        <v>8.8800797823517996</v>
      </c>
    </row>
    <row r="265" spans="1:6" x14ac:dyDescent="0.3">
      <c r="A265" s="537" t="s">
        <v>182</v>
      </c>
      <c r="B265" s="1795" t="s">
        <v>171</v>
      </c>
      <c r="C265" s="538">
        <v>218</v>
      </c>
      <c r="D265" s="538">
        <v>6</v>
      </c>
      <c r="E265" s="538">
        <v>2.8301886792452802</v>
      </c>
      <c r="F265" s="538">
        <v>2.0660164274841999</v>
      </c>
    </row>
    <row r="266" spans="1:6" x14ac:dyDescent="0.3">
      <c r="A266" s="539" t="s">
        <v>184</v>
      </c>
      <c r="B266" s="1795" t="s">
        <v>185</v>
      </c>
      <c r="C266" s="540">
        <v>19</v>
      </c>
      <c r="D266" s="540">
        <v>-3</v>
      </c>
      <c r="E266" s="540">
        <v>-13.636363636363599</v>
      </c>
      <c r="F266" s="540">
        <v>0.18006565193669599</v>
      </c>
    </row>
    <row r="267" spans="1:6" x14ac:dyDescent="0.3">
      <c r="A267" s="541" t="s">
        <v>184</v>
      </c>
      <c r="B267" s="1795" t="s">
        <v>23</v>
      </c>
      <c r="C267" s="542">
        <v>7</v>
      </c>
      <c r="D267" s="542">
        <v>-4</v>
      </c>
      <c r="E267" s="542">
        <v>-36.363636363636402</v>
      </c>
      <c r="F267" s="542">
        <v>6.6339977029309105E-2</v>
      </c>
    </row>
    <row r="268" spans="1:6" x14ac:dyDescent="0.3">
      <c r="A268" s="543" t="s">
        <v>184</v>
      </c>
      <c r="B268" s="1795" t="s">
        <v>24</v>
      </c>
      <c r="C268" s="544">
        <v>3</v>
      </c>
      <c r="D268" s="544">
        <v>-6</v>
      </c>
      <c r="E268" s="544">
        <v>-66.6666666666667</v>
      </c>
      <c r="F268" s="544">
        <v>2.8431418726846801E-2</v>
      </c>
    </row>
    <row r="269" spans="1:6" x14ac:dyDescent="0.3">
      <c r="A269" s="545" t="s">
        <v>184</v>
      </c>
      <c r="B269" s="1795" t="s">
        <v>25</v>
      </c>
      <c r="C269" s="546">
        <v>4</v>
      </c>
      <c r="D269" s="546">
        <v>2</v>
      </c>
      <c r="E269" s="546">
        <v>100</v>
      </c>
      <c r="F269" s="546">
        <v>3.79085583024623E-2</v>
      </c>
    </row>
    <row r="270" spans="1:6" x14ac:dyDescent="0.3">
      <c r="A270" s="547" t="s">
        <v>184</v>
      </c>
      <c r="B270" s="1795" t="s">
        <v>26</v>
      </c>
      <c r="C270" s="548">
        <v>6</v>
      </c>
      <c r="D270" s="548">
        <v>-1</v>
      </c>
      <c r="E270" s="548">
        <v>-14.285714285714301</v>
      </c>
      <c r="F270" s="548">
        <v>5.6862837453693499E-2</v>
      </c>
    </row>
    <row r="271" spans="1:6" x14ac:dyDescent="0.3">
      <c r="A271" s="549" t="s">
        <v>184</v>
      </c>
      <c r="B271" s="1795" t="s">
        <v>31</v>
      </c>
      <c r="C271" s="550">
        <v>6</v>
      </c>
      <c r="D271" s="550">
        <v>2</v>
      </c>
      <c r="E271" s="550">
        <v>50</v>
      </c>
      <c r="F271" s="550">
        <v>5.6862837453693499E-2</v>
      </c>
    </row>
    <row r="272" spans="1:6" x14ac:dyDescent="0.3">
      <c r="A272" s="551" t="s">
        <v>186</v>
      </c>
      <c r="B272" s="1795" t="s">
        <v>187</v>
      </c>
      <c r="C272" s="552">
        <v>6</v>
      </c>
      <c r="D272" s="552">
        <v>-3</v>
      </c>
      <c r="E272" s="552">
        <v>-33.3333333333333</v>
      </c>
      <c r="F272" s="552">
        <v>5.6862837453693499E-2</v>
      </c>
    </row>
    <row r="273" spans="1:6" x14ac:dyDescent="0.3">
      <c r="A273" s="553" t="s">
        <v>186</v>
      </c>
      <c r="B273" s="1795" t="s">
        <v>23</v>
      </c>
      <c r="C273" s="554">
        <v>3</v>
      </c>
      <c r="D273" s="554">
        <v>-3</v>
      </c>
      <c r="E273" s="554">
        <v>-50</v>
      </c>
      <c r="F273" s="554">
        <v>2.8431418726846801E-2</v>
      </c>
    </row>
    <row r="274" spans="1:6" x14ac:dyDescent="0.3">
      <c r="A274" s="555" t="s">
        <v>186</v>
      </c>
      <c r="B274" s="1795" t="s">
        <v>24</v>
      </c>
      <c r="C274" s="556">
        <v>3</v>
      </c>
      <c r="D274" s="556">
        <v>-1</v>
      </c>
      <c r="E274" s="556">
        <v>-25</v>
      </c>
      <c r="F274" s="556">
        <v>2.8431418726846801E-2</v>
      </c>
    </row>
    <row r="275" spans="1:6" x14ac:dyDescent="0.3">
      <c r="A275" s="557" t="s">
        <v>186</v>
      </c>
      <c r="B275" s="1795" t="s">
        <v>25</v>
      </c>
      <c r="C275" s="558">
        <v>0</v>
      </c>
      <c r="D275" s="558">
        <v>-2</v>
      </c>
      <c r="E275" s="558">
        <v>-100</v>
      </c>
      <c r="F275" s="558">
        <v>0</v>
      </c>
    </row>
    <row r="276" spans="1:6" x14ac:dyDescent="0.3">
      <c r="A276" s="559" t="s">
        <v>186</v>
      </c>
      <c r="B276" s="1795" t="s">
        <v>26</v>
      </c>
      <c r="C276" s="560">
        <v>2</v>
      </c>
      <c r="D276" s="560">
        <v>0</v>
      </c>
      <c r="E276" s="560">
        <v>0</v>
      </c>
      <c r="F276" s="560">
        <v>1.8954279151231199E-2</v>
      </c>
    </row>
    <row r="277" spans="1:6" x14ac:dyDescent="0.3">
      <c r="A277" s="561" t="s">
        <v>186</v>
      </c>
      <c r="B277" s="1795" t="s">
        <v>31</v>
      </c>
      <c r="C277" s="562">
        <v>1</v>
      </c>
      <c r="D277" s="562">
        <v>0</v>
      </c>
      <c r="E277" s="562">
        <v>0</v>
      </c>
      <c r="F277" s="562">
        <v>9.4771395756155907E-3</v>
      </c>
    </row>
    <row r="278" spans="1:6" x14ac:dyDescent="0.3">
      <c r="A278" s="563" t="s">
        <v>188</v>
      </c>
      <c r="B278" s="1795" t="s">
        <v>189</v>
      </c>
      <c r="C278" s="564">
        <v>106</v>
      </c>
      <c r="D278" s="564">
        <v>-96</v>
      </c>
      <c r="E278" s="564">
        <v>-47.524752475247503</v>
      </c>
      <c r="F278" s="564">
        <v>1.00457679501525</v>
      </c>
    </row>
    <row r="279" spans="1:6" x14ac:dyDescent="0.3">
      <c r="A279" s="565" t="s">
        <v>190</v>
      </c>
      <c r="B279" s="1795" t="s">
        <v>191</v>
      </c>
      <c r="C279" s="566">
        <v>651</v>
      </c>
      <c r="D279" s="566">
        <v>-34</v>
      </c>
      <c r="E279" s="566">
        <v>-4.9635036496350402</v>
      </c>
      <c r="F279" s="566">
        <v>6.1696178637257502</v>
      </c>
    </row>
    <row r="280" spans="1:6" x14ac:dyDescent="0.3">
      <c r="A280" s="567" t="s">
        <v>190</v>
      </c>
      <c r="B280" s="1795" t="s">
        <v>192</v>
      </c>
      <c r="C280" s="568">
        <v>10</v>
      </c>
      <c r="D280" s="568">
        <v>4</v>
      </c>
      <c r="E280" s="568">
        <v>66.6666666666667</v>
      </c>
      <c r="F280" s="568">
        <v>9.4771395756155896E-2</v>
      </c>
    </row>
    <row r="281" spans="1:6" x14ac:dyDescent="0.3">
      <c r="A281" s="569" t="s">
        <v>190</v>
      </c>
      <c r="B281" s="1795" t="s">
        <v>193</v>
      </c>
      <c r="C281" s="570">
        <v>22</v>
      </c>
      <c r="D281" s="570">
        <v>4</v>
      </c>
      <c r="E281" s="570">
        <v>22.2222222222222</v>
      </c>
      <c r="F281" s="570">
        <v>0.208497070663543</v>
      </c>
    </row>
    <row r="282" spans="1:6" x14ac:dyDescent="0.3">
      <c r="A282" s="571" t="s">
        <v>190</v>
      </c>
      <c r="B282" s="1795" t="s">
        <v>194</v>
      </c>
      <c r="C282" s="572">
        <v>29</v>
      </c>
      <c r="D282" s="572">
        <v>-8</v>
      </c>
      <c r="E282" s="572">
        <v>-21.6216216216216</v>
      </c>
      <c r="F282" s="572">
        <v>0.274837047692852</v>
      </c>
    </row>
    <row r="283" spans="1:6" x14ac:dyDescent="0.3">
      <c r="A283" s="573" t="s">
        <v>190</v>
      </c>
      <c r="B283" s="1795" t="s">
        <v>195</v>
      </c>
      <c r="C283" s="574">
        <v>359</v>
      </c>
      <c r="D283" s="574">
        <v>-38</v>
      </c>
      <c r="E283" s="574">
        <v>-9.5717884130982398</v>
      </c>
      <c r="F283" s="574">
        <v>3.4022931076459999</v>
      </c>
    </row>
    <row r="284" spans="1:6" x14ac:dyDescent="0.3">
      <c r="A284" s="575" t="s">
        <v>190</v>
      </c>
      <c r="B284" s="1795" t="s">
        <v>196</v>
      </c>
      <c r="C284" s="576">
        <v>231</v>
      </c>
      <c r="D284" s="576">
        <v>4</v>
      </c>
      <c r="E284" s="576">
        <v>1.7621145374449301</v>
      </c>
      <c r="F284" s="576">
        <v>2.1892192419672001</v>
      </c>
    </row>
    <row r="285" spans="1:6" x14ac:dyDescent="0.3">
      <c r="A285" s="577" t="s">
        <v>197</v>
      </c>
      <c r="B285" s="19" t="s">
        <v>198</v>
      </c>
      <c r="C285" s="578">
        <v>843</v>
      </c>
      <c r="D285" s="578">
        <v>32</v>
      </c>
      <c r="E285" s="578">
        <v>3.9457459926017302</v>
      </c>
      <c r="F285" s="578">
        <v>7.9892286622439403</v>
      </c>
    </row>
    <row r="286" spans="1:6" x14ac:dyDescent="0.3">
      <c r="A286" s="579" t="s">
        <v>197</v>
      </c>
      <c r="B286" s="1795" t="s">
        <v>23</v>
      </c>
      <c r="C286" s="580">
        <v>114</v>
      </c>
      <c r="D286" s="580">
        <v>21</v>
      </c>
      <c r="E286" s="580">
        <v>22.580645161290299</v>
      </c>
      <c r="F286" s="580">
        <v>1.0803939116201799</v>
      </c>
    </row>
    <row r="287" spans="1:6" x14ac:dyDescent="0.3">
      <c r="A287" s="581" t="s">
        <v>197</v>
      </c>
      <c r="B287" s="1795" t="s">
        <v>24</v>
      </c>
      <c r="C287" s="582">
        <v>62</v>
      </c>
      <c r="D287" s="582">
        <v>6</v>
      </c>
      <c r="E287" s="582">
        <v>10.714285714285699</v>
      </c>
      <c r="F287" s="582">
        <v>0.58758265368816598</v>
      </c>
    </row>
    <row r="288" spans="1:6" x14ac:dyDescent="0.3">
      <c r="A288" s="583" t="s">
        <v>197</v>
      </c>
      <c r="B288" s="1795" t="s">
        <v>156</v>
      </c>
      <c r="C288" s="584">
        <v>35</v>
      </c>
      <c r="D288" s="584">
        <v>6</v>
      </c>
      <c r="E288" s="584">
        <v>20.689655172413801</v>
      </c>
      <c r="F288" s="584">
        <v>0.33169988514654503</v>
      </c>
    </row>
    <row r="289" spans="1:6" x14ac:dyDescent="0.3">
      <c r="A289" s="585" t="s">
        <v>197</v>
      </c>
      <c r="B289" s="1795" t="s">
        <v>157</v>
      </c>
      <c r="C289" s="586">
        <v>27</v>
      </c>
      <c r="D289" s="586">
        <v>0</v>
      </c>
      <c r="E289" s="586">
        <v>0</v>
      </c>
      <c r="F289" s="586">
        <v>0.25588276854162101</v>
      </c>
    </row>
    <row r="290" spans="1:6" x14ac:dyDescent="0.3">
      <c r="A290" s="587" t="s">
        <v>197</v>
      </c>
      <c r="B290" s="1795" t="s">
        <v>25</v>
      </c>
      <c r="C290" s="588">
        <v>52</v>
      </c>
      <c r="D290" s="588">
        <v>15</v>
      </c>
      <c r="E290" s="588">
        <v>40.540540540540498</v>
      </c>
      <c r="F290" s="588">
        <v>0.49281125793201003</v>
      </c>
    </row>
    <row r="291" spans="1:6" x14ac:dyDescent="0.3">
      <c r="A291" s="589" t="s">
        <v>197</v>
      </c>
      <c r="B291" s="1795" t="s">
        <v>158</v>
      </c>
      <c r="C291" s="590">
        <v>22</v>
      </c>
      <c r="D291" s="590">
        <v>3</v>
      </c>
      <c r="E291" s="590">
        <v>15.789473684210501</v>
      </c>
      <c r="F291" s="590">
        <v>0.208497070663543</v>
      </c>
    </row>
    <row r="292" spans="1:6" x14ac:dyDescent="0.3">
      <c r="A292" s="591" t="s">
        <v>197</v>
      </c>
      <c r="B292" s="1795" t="s">
        <v>159</v>
      </c>
      <c r="C292" s="592">
        <v>30</v>
      </c>
      <c r="D292" s="592">
        <v>12</v>
      </c>
      <c r="E292" s="592">
        <v>66.6666666666667</v>
      </c>
      <c r="F292" s="592">
        <v>0.28431418726846802</v>
      </c>
    </row>
    <row r="293" spans="1:6" x14ac:dyDescent="0.3">
      <c r="A293" s="593" t="s">
        <v>197</v>
      </c>
      <c r="B293" s="1795" t="s">
        <v>26</v>
      </c>
      <c r="C293" s="594">
        <v>368</v>
      </c>
      <c r="D293" s="594">
        <v>14</v>
      </c>
      <c r="E293" s="594">
        <v>3.9548022598870101</v>
      </c>
      <c r="F293" s="594">
        <v>3.48758736382654</v>
      </c>
    </row>
    <row r="294" spans="1:6" x14ac:dyDescent="0.3">
      <c r="A294" s="595" t="s">
        <v>197</v>
      </c>
      <c r="B294" s="1795" t="s">
        <v>199</v>
      </c>
      <c r="C294" s="596">
        <v>170</v>
      </c>
      <c r="D294" s="596">
        <v>-4</v>
      </c>
      <c r="E294" s="596">
        <v>-2.29885057471264</v>
      </c>
      <c r="F294" s="596">
        <v>1.6111137278546499</v>
      </c>
    </row>
    <row r="295" spans="1:6" x14ac:dyDescent="0.3">
      <c r="A295" s="597" t="s">
        <v>197</v>
      </c>
      <c r="B295" s="1795" t="s">
        <v>200</v>
      </c>
      <c r="C295" s="598">
        <v>198</v>
      </c>
      <c r="D295" s="598">
        <v>18</v>
      </c>
      <c r="E295" s="598">
        <v>10</v>
      </c>
      <c r="F295" s="598">
        <v>1.8764736359718901</v>
      </c>
    </row>
    <row r="296" spans="1:6" x14ac:dyDescent="0.3">
      <c r="A296" s="599" t="s">
        <v>197</v>
      </c>
      <c r="B296" s="1795" t="s">
        <v>31</v>
      </c>
      <c r="C296" s="600">
        <v>361</v>
      </c>
      <c r="D296" s="600">
        <v>-3</v>
      </c>
      <c r="E296" s="600">
        <v>-0.82417582417582402</v>
      </c>
      <c r="F296" s="600">
        <v>3.42124738679723</v>
      </c>
    </row>
    <row r="297" spans="1:6" x14ac:dyDescent="0.3">
      <c r="A297" s="601" t="s">
        <v>197</v>
      </c>
      <c r="B297" s="1795" t="s">
        <v>201</v>
      </c>
      <c r="C297" s="602">
        <v>164</v>
      </c>
      <c r="D297" s="602">
        <v>18</v>
      </c>
      <c r="E297" s="602">
        <v>12.328767123287699</v>
      </c>
      <c r="F297" s="602">
        <v>1.55425089040096</v>
      </c>
    </row>
    <row r="298" spans="1:6" x14ac:dyDescent="0.3">
      <c r="A298" s="603" t="s">
        <v>197</v>
      </c>
      <c r="B298" s="1795" t="s">
        <v>202</v>
      </c>
      <c r="C298" s="604">
        <v>197</v>
      </c>
      <c r="D298" s="604">
        <v>-21</v>
      </c>
      <c r="E298" s="604">
        <v>-9.6330275229357802</v>
      </c>
      <c r="F298" s="604">
        <v>1.86699649639627</v>
      </c>
    </row>
    <row r="299" spans="1:6" x14ac:dyDescent="0.3">
      <c r="A299" s="605" t="s">
        <v>203</v>
      </c>
      <c r="B299" s="19" t="s">
        <v>204</v>
      </c>
      <c r="C299" s="606">
        <v>1637</v>
      </c>
      <c r="D299" s="606">
        <v>102</v>
      </c>
      <c r="E299" s="606">
        <v>6.6449511400651504</v>
      </c>
      <c r="F299" s="606">
        <v>15.5140774852827</v>
      </c>
    </row>
    <row r="300" spans="1:6" x14ac:dyDescent="0.3">
      <c r="A300" s="607" t="s">
        <v>205</v>
      </c>
      <c r="B300" s="1795" t="s">
        <v>206</v>
      </c>
      <c r="C300" s="608">
        <v>662</v>
      </c>
      <c r="D300" s="608">
        <v>80</v>
      </c>
      <c r="E300" s="608">
        <v>13.745704467354001</v>
      </c>
      <c r="F300" s="608">
        <v>6.2738663990575203</v>
      </c>
    </row>
    <row r="301" spans="1:6" x14ac:dyDescent="0.3">
      <c r="A301" s="609" t="s">
        <v>207</v>
      </c>
      <c r="B301" s="1795" t="s">
        <v>208</v>
      </c>
      <c r="C301" s="610">
        <v>643</v>
      </c>
      <c r="D301" s="610">
        <v>82</v>
      </c>
      <c r="E301" s="610">
        <v>14.6167557932264</v>
      </c>
      <c r="F301" s="610">
        <v>6.0938007471208202</v>
      </c>
    </row>
    <row r="302" spans="1:6" x14ac:dyDescent="0.3">
      <c r="A302" s="611" t="s">
        <v>207</v>
      </c>
      <c r="B302" s="1795" t="s">
        <v>209</v>
      </c>
      <c r="C302" s="612">
        <v>180</v>
      </c>
      <c r="D302" s="612">
        <v>46</v>
      </c>
      <c r="E302" s="612">
        <v>34.328358208955201</v>
      </c>
      <c r="F302" s="612">
        <v>1.7058851236108099</v>
      </c>
    </row>
    <row r="303" spans="1:6" x14ac:dyDescent="0.3">
      <c r="A303" s="613" t="s">
        <v>207</v>
      </c>
      <c r="B303" s="1795" t="s">
        <v>210</v>
      </c>
      <c r="C303" s="614">
        <v>149</v>
      </c>
      <c r="D303" s="614">
        <v>33</v>
      </c>
      <c r="E303" s="614">
        <v>28.448275862069</v>
      </c>
      <c r="F303" s="614">
        <v>1.41209379676672</v>
      </c>
    </row>
    <row r="304" spans="1:6" x14ac:dyDescent="0.3">
      <c r="A304" s="615" t="s">
        <v>211</v>
      </c>
      <c r="B304" s="1795" t="s">
        <v>210</v>
      </c>
      <c r="C304" s="616">
        <v>142</v>
      </c>
      <c r="D304" s="616">
        <v>36</v>
      </c>
      <c r="E304" s="616">
        <v>33.962264150943398</v>
      </c>
      <c r="F304" s="616">
        <v>1.3457538197374099</v>
      </c>
    </row>
    <row r="305" spans="1:6" x14ac:dyDescent="0.3">
      <c r="A305" s="617" t="s">
        <v>211</v>
      </c>
      <c r="B305" s="1795" t="s">
        <v>212</v>
      </c>
      <c r="C305" s="618">
        <v>17</v>
      </c>
      <c r="D305" s="618">
        <v>7</v>
      </c>
      <c r="E305" s="618">
        <v>70</v>
      </c>
      <c r="F305" s="618">
        <v>0.161111372785465</v>
      </c>
    </row>
    <row r="306" spans="1:6" x14ac:dyDescent="0.3">
      <c r="A306" s="619" t="s">
        <v>211</v>
      </c>
      <c r="B306" s="1795" t="s">
        <v>213</v>
      </c>
      <c r="C306" s="620">
        <v>125</v>
      </c>
      <c r="D306" s="620">
        <v>29</v>
      </c>
      <c r="E306" s="620">
        <v>30.2083333333333</v>
      </c>
      <c r="F306" s="620">
        <v>1.1846424469519501</v>
      </c>
    </row>
    <row r="307" spans="1:6" x14ac:dyDescent="0.3">
      <c r="A307" s="621" t="s">
        <v>214</v>
      </c>
      <c r="B307" s="1795" t="s">
        <v>210</v>
      </c>
      <c r="C307" s="622">
        <v>7</v>
      </c>
      <c r="D307" s="622">
        <v>-3</v>
      </c>
      <c r="E307" s="622">
        <v>-30</v>
      </c>
      <c r="F307" s="622">
        <v>6.6339977029309105E-2</v>
      </c>
    </row>
    <row r="308" spans="1:6" x14ac:dyDescent="0.3">
      <c r="A308" s="623" t="s">
        <v>214</v>
      </c>
      <c r="B308" s="1795" t="s">
        <v>212</v>
      </c>
      <c r="C308" s="624">
        <v>0</v>
      </c>
      <c r="D308" s="624">
        <v>-2</v>
      </c>
      <c r="E308" s="624">
        <v>-100</v>
      </c>
      <c r="F308" s="624">
        <v>0</v>
      </c>
    </row>
    <row r="309" spans="1:6" x14ac:dyDescent="0.3">
      <c r="A309" s="625" t="s">
        <v>214</v>
      </c>
      <c r="B309" s="1795" t="s">
        <v>213</v>
      </c>
      <c r="C309" s="626">
        <v>7</v>
      </c>
      <c r="D309" s="626">
        <v>-1</v>
      </c>
      <c r="E309" s="626">
        <v>-12.5</v>
      </c>
      <c r="F309" s="626">
        <v>6.6339977029309105E-2</v>
      </c>
    </row>
    <row r="310" spans="1:6" x14ac:dyDescent="0.3">
      <c r="A310" s="627" t="s">
        <v>207</v>
      </c>
      <c r="B310" s="1795" t="s">
        <v>215</v>
      </c>
      <c r="C310" s="628">
        <v>31</v>
      </c>
      <c r="D310" s="628">
        <v>13</v>
      </c>
      <c r="E310" s="628">
        <v>72.2222222222222</v>
      </c>
      <c r="F310" s="628">
        <v>0.29379132684408299</v>
      </c>
    </row>
    <row r="311" spans="1:6" x14ac:dyDescent="0.3">
      <c r="A311" s="629" t="s">
        <v>211</v>
      </c>
      <c r="B311" s="1795" t="s">
        <v>215</v>
      </c>
      <c r="C311" s="630">
        <v>25</v>
      </c>
      <c r="D311" s="630">
        <v>8</v>
      </c>
      <c r="E311" s="630">
        <v>47.058823529411796</v>
      </c>
      <c r="F311" s="630">
        <v>0.23692848939038999</v>
      </c>
    </row>
    <row r="312" spans="1:6" x14ac:dyDescent="0.3">
      <c r="A312" s="631" t="s">
        <v>211</v>
      </c>
      <c r="B312" s="1795" t="s">
        <v>216</v>
      </c>
      <c r="C312" s="632">
        <v>4</v>
      </c>
      <c r="D312" s="632">
        <v>2</v>
      </c>
      <c r="E312" s="632">
        <v>100</v>
      </c>
      <c r="F312" s="632">
        <v>3.79085583024623E-2</v>
      </c>
    </row>
    <row r="313" spans="1:6" x14ac:dyDescent="0.3">
      <c r="A313" s="633" t="s">
        <v>211</v>
      </c>
      <c r="B313" s="1795" t="s">
        <v>217</v>
      </c>
      <c r="C313" s="634">
        <v>21</v>
      </c>
      <c r="D313" s="634">
        <v>6</v>
      </c>
      <c r="E313" s="634">
        <v>40</v>
      </c>
      <c r="F313" s="634">
        <v>0.19901993108792701</v>
      </c>
    </row>
    <row r="314" spans="1:6" x14ac:dyDescent="0.3">
      <c r="A314" s="635" t="s">
        <v>214</v>
      </c>
      <c r="B314" s="1795" t="s">
        <v>215</v>
      </c>
      <c r="C314" s="636">
        <v>6</v>
      </c>
      <c r="D314" s="636">
        <v>5</v>
      </c>
      <c r="E314" s="636">
        <v>500</v>
      </c>
      <c r="F314" s="636">
        <v>5.6862837453693499E-2</v>
      </c>
    </row>
    <row r="315" spans="1:6" x14ac:dyDescent="0.3">
      <c r="A315" s="637" t="s">
        <v>214</v>
      </c>
      <c r="B315" s="1795" t="s">
        <v>216</v>
      </c>
      <c r="C315" s="638">
        <v>0</v>
      </c>
      <c r="D315" s="638">
        <v>0</v>
      </c>
      <c r="E315" s="638" t="s">
        <v>38</v>
      </c>
      <c r="F315" s="638">
        <v>0</v>
      </c>
    </row>
    <row r="316" spans="1:6" x14ac:dyDescent="0.3">
      <c r="A316" s="639" t="s">
        <v>214</v>
      </c>
      <c r="B316" s="1795" t="s">
        <v>217</v>
      </c>
      <c r="C316" s="640">
        <v>6</v>
      </c>
      <c r="D316" s="640">
        <v>5</v>
      </c>
      <c r="E316" s="640">
        <v>500</v>
      </c>
      <c r="F316" s="640">
        <v>5.6862837453693499E-2</v>
      </c>
    </row>
    <row r="317" spans="1:6" x14ac:dyDescent="0.3">
      <c r="A317" s="641" t="s">
        <v>207</v>
      </c>
      <c r="B317" s="1795" t="s">
        <v>218</v>
      </c>
      <c r="C317" s="642">
        <v>74</v>
      </c>
      <c r="D317" s="642">
        <v>23</v>
      </c>
      <c r="E317" s="642">
        <v>45.098039215686299</v>
      </c>
      <c r="F317" s="642">
        <v>0.70130832859555303</v>
      </c>
    </row>
    <row r="318" spans="1:6" x14ac:dyDescent="0.3">
      <c r="A318" s="643" t="s">
        <v>207</v>
      </c>
      <c r="B318" s="1795" t="s">
        <v>219</v>
      </c>
      <c r="C318" s="644">
        <v>68</v>
      </c>
      <c r="D318" s="644">
        <v>19</v>
      </c>
      <c r="E318" s="644">
        <v>38.775510204081598</v>
      </c>
      <c r="F318" s="644">
        <v>0.64444549114186001</v>
      </c>
    </row>
    <row r="319" spans="1:6" x14ac:dyDescent="0.3">
      <c r="A319" s="645" t="s">
        <v>211</v>
      </c>
      <c r="B319" s="1795" t="s">
        <v>219</v>
      </c>
      <c r="C319" s="646">
        <v>65</v>
      </c>
      <c r="D319" s="646">
        <v>20</v>
      </c>
      <c r="E319" s="646">
        <v>44.4444444444444</v>
      </c>
      <c r="F319" s="646">
        <v>0.61601407241501305</v>
      </c>
    </row>
    <row r="320" spans="1:6" x14ac:dyDescent="0.3">
      <c r="A320" s="647" t="s">
        <v>211</v>
      </c>
      <c r="B320" s="1795" t="s">
        <v>220</v>
      </c>
      <c r="C320" s="648">
        <v>9</v>
      </c>
      <c r="D320" s="648">
        <v>6</v>
      </c>
      <c r="E320" s="648">
        <v>200</v>
      </c>
      <c r="F320" s="648">
        <v>8.5294256180540304E-2</v>
      </c>
    </row>
    <row r="321" spans="1:6" x14ac:dyDescent="0.3">
      <c r="A321" s="649" t="s">
        <v>211</v>
      </c>
      <c r="B321" s="1795" t="s">
        <v>221</v>
      </c>
      <c r="C321" s="650">
        <v>56</v>
      </c>
      <c r="D321" s="650">
        <v>14</v>
      </c>
      <c r="E321" s="650">
        <v>33.3333333333333</v>
      </c>
      <c r="F321" s="650">
        <v>0.53071981623447295</v>
      </c>
    </row>
    <row r="322" spans="1:6" x14ac:dyDescent="0.3">
      <c r="A322" s="651" t="s">
        <v>222</v>
      </c>
      <c r="B322" s="1795" t="s">
        <v>219</v>
      </c>
      <c r="C322" s="652">
        <v>3</v>
      </c>
      <c r="D322" s="652">
        <v>-1</v>
      </c>
      <c r="E322" s="652">
        <v>-25</v>
      </c>
      <c r="F322" s="652">
        <v>2.8431418726846801E-2</v>
      </c>
    </row>
    <row r="323" spans="1:6" x14ac:dyDescent="0.3">
      <c r="A323" s="653" t="s">
        <v>222</v>
      </c>
      <c r="B323" s="1795" t="s">
        <v>220</v>
      </c>
      <c r="C323" s="654">
        <v>0</v>
      </c>
      <c r="D323" s="654">
        <v>-1</v>
      </c>
      <c r="E323" s="654">
        <v>-100</v>
      </c>
      <c r="F323" s="654">
        <v>0</v>
      </c>
    </row>
    <row r="324" spans="1:6" x14ac:dyDescent="0.3">
      <c r="A324" s="655" t="s">
        <v>222</v>
      </c>
      <c r="B324" s="1795" t="s">
        <v>221</v>
      </c>
      <c r="C324" s="656">
        <v>3</v>
      </c>
      <c r="D324" s="656">
        <v>0</v>
      </c>
      <c r="E324" s="656">
        <v>0</v>
      </c>
      <c r="F324" s="656">
        <v>2.8431418726846801E-2</v>
      </c>
    </row>
    <row r="325" spans="1:6" x14ac:dyDescent="0.3">
      <c r="A325" s="657" t="s">
        <v>207</v>
      </c>
      <c r="B325" s="1795" t="s">
        <v>223</v>
      </c>
      <c r="C325" s="658">
        <v>6</v>
      </c>
      <c r="D325" s="658">
        <v>4</v>
      </c>
      <c r="E325" s="658">
        <v>200</v>
      </c>
      <c r="F325" s="658">
        <v>5.6862837453693499E-2</v>
      </c>
    </row>
    <row r="326" spans="1:6" x14ac:dyDescent="0.3">
      <c r="A326" s="659" t="s">
        <v>211</v>
      </c>
      <c r="B326" s="1795" t="s">
        <v>223</v>
      </c>
      <c r="C326" s="660">
        <v>6</v>
      </c>
      <c r="D326" s="660">
        <v>4</v>
      </c>
      <c r="E326" s="660">
        <v>200</v>
      </c>
      <c r="F326" s="660">
        <v>5.6862837453693499E-2</v>
      </c>
    </row>
    <row r="327" spans="1:6" x14ac:dyDescent="0.3">
      <c r="A327" s="661" t="s">
        <v>211</v>
      </c>
      <c r="B327" s="1795" t="s">
        <v>224</v>
      </c>
      <c r="C327" s="662">
        <v>2</v>
      </c>
      <c r="D327" s="662">
        <v>1</v>
      </c>
      <c r="E327" s="662">
        <v>100</v>
      </c>
      <c r="F327" s="662">
        <v>1.8954279151231199E-2</v>
      </c>
    </row>
    <row r="328" spans="1:6" x14ac:dyDescent="0.3">
      <c r="A328" s="663" t="s">
        <v>211</v>
      </c>
      <c r="B328" s="1795" t="s">
        <v>225</v>
      </c>
      <c r="C328" s="664">
        <v>4</v>
      </c>
      <c r="D328" s="664">
        <v>3</v>
      </c>
      <c r="E328" s="664">
        <v>300</v>
      </c>
      <c r="F328" s="664">
        <v>3.79085583024623E-2</v>
      </c>
    </row>
    <row r="329" spans="1:6" x14ac:dyDescent="0.3">
      <c r="A329" s="665" t="s">
        <v>222</v>
      </c>
      <c r="B329" s="1795" t="s">
        <v>223</v>
      </c>
      <c r="C329" s="666">
        <v>0</v>
      </c>
      <c r="D329" s="666">
        <v>0</v>
      </c>
      <c r="E329" s="666" t="s">
        <v>38</v>
      </c>
      <c r="F329" s="666">
        <v>0</v>
      </c>
    </row>
    <row r="330" spans="1:6" x14ac:dyDescent="0.3">
      <c r="A330" s="667" t="s">
        <v>222</v>
      </c>
      <c r="B330" s="1795" t="s">
        <v>224</v>
      </c>
      <c r="C330" s="668">
        <v>0</v>
      </c>
      <c r="D330" s="668">
        <v>0</v>
      </c>
      <c r="E330" s="668" t="s">
        <v>38</v>
      </c>
      <c r="F330" s="668">
        <v>0</v>
      </c>
    </row>
    <row r="331" spans="1:6" x14ac:dyDescent="0.3">
      <c r="A331" s="669" t="s">
        <v>222</v>
      </c>
      <c r="B331" s="1795" t="s">
        <v>225</v>
      </c>
      <c r="C331" s="670">
        <v>0</v>
      </c>
      <c r="D331" s="670">
        <v>0</v>
      </c>
      <c r="E331" s="670" t="s">
        <v>38</v>
      </c>
      <c r="F331" s="670">
        <v>0</v>
      </c>
    </row>
    <row r="332" spans="1:6" x14ac:dyDescent="0.3">
      <c r="A332" s="671" t="s">
        <v>226</v>
      </c>
      <c r="B332" s="1795" t="s">
        <v>227</v>
      </c>
      <c r="C332" s="672">
        <v>363</v>
      </c>
      <c r="D332" s="672">
        <v>16</v>
      </c>
      <c r="E332" s="672">
        <v>4.6109510086455296</v>
      </c>
      <c r="F332" s="672">
        <v>3.44020166594846</v>
      </c>
    </row>
    <row r="333" spans="1:6" x14ac:dyDescent="0.3">
      <c r="A333" s="673" t="s">
        <v>226</v>
      </c>
      <c r="B333" s="1795" t="s">
        <v>27</v>
      </c>
      <c r="C333" s="674">
        <v>112</v>
      </c>
      <c r="D333" s="674">
        <v>18</v>
      </c>
      <c r="E333" s="674">
        <v>19.148936170212799</v>
      </c>
      <c r="F333" s="674">
        <v>1.0614396324689499</v>
      </c>
    </row>
    <row r="334" spans="1:6" x14ac:dyDescent="0.3">
      <c r="A334" s="675" t="s">
        <v>228</v>
      </c>
      <c r="B334" s="1795" t="s">
        <v>27</v>
      </c>
      <c r="C334" s="676">
        <v>109</v>
      </c>
      <c r="D334" s="676">
        <v>22</v>
      </c>
      <c r="E334" s="676">
        <v>25.287356321839098</v>
      </c>
      <c r="F334" s="676">
        <v>1.0330082137420999</v>
      </c>
    </row>
    <row r="335" spans="1:6" x14ac:dyDescent="0.3">
      <c r="A335" s="677" t="s">
        <v>229</v>
      </c>
      <c r="B335" s="1795" t="s">
        <v>27</v>
      </c>
      <c r="C335" s="678">
        <v>3</v>
      </c>
      <c r="D335" s="678">
        <v>-4</v>
      </c>
      <c r="E335" s="678">
        <v>-57.142857142857103</v>
      </c>
      <c r="F335" s="678">
        <v>2.8431418726846801E-2</v>
      </c>
    </row>
    <row r="336" spans="1:6" x14ac:dyDescent="0.3">
      <c r="A336" s="679" t="s">
        <v>226</v>
      </c>
      <c r="B336" s="1795" t="s">
        <v>28</v>
      </c>
      <c r="C336" s="680">
        <v>9</v>
      </c>
      <c r="D336" s="680">
        <v>0</v>
      </c>
      <c r="E336" s="680">
        <v>0</v>
      </c>
      <c r="F336" s="680">
        <v>8.5294256180540304E-2</v>
      </c>
    </row>
    <row r="337" spans="1:6" x14ac:dyDescent="0.3">
      <c r="A337" s="681" t="s">
        <v>228</v>
      </c>
      <c r="B337" s="1795" t="s">
        <v>28</v>
      </c>
      <c r="C337" s="682">
        <v>8</v>
      </c>
      <c r="D337" s="682">
        <v>-1</v>
      </c>
      <c r="E337" s="682">
        <v>-11.1111111111111</v>
      </c>
      <c r="F337" s="682">
        <v>7.5817116604924698E-2</v>
      </c>
    </row>
    <row r="338" spans="1:6" x14ac:dyDescent="0.3">
      <c r="A338" s="683" t="s">
        <v>229</v>
      </c>
      <c r="B338" s="1795" t="s">
        <v>28</v>
      </c>
      <c r="C338" s="684">
        <v>1</v>
      </c>
      <c r="D338" s="684">
        <v>1</v>
      </c>
      <c r="E338" s="684" t="s">
        <v>38</v>
      </c>
      <c r="F338" s="684">
        <v>9.4771395756155907E-3</v>
      </c>
    </row>
    <row r="339" spans="1:6" x14ac:dyDescent="0.3">
      <c r="A339" s="685" t="s">
        <v>226</v>
      </c>
      <c r="B339" s="1795" t="s">
        <v>29</v>
      </c>
      <c r="C339" s="686">
        <v>152</v>
      </c>
      <c r="D339" s="686">
        <v>3</v>
      </c>
      <c r="E339" s="686">
        <v>2.0134228187919501</v>
      </c>
      <c r="F339" s="686">
        <v>1.4405252154935699</v>
      </c>
    </row>
    <row r="340" spans="1:6" x14ac:dyDescent="0.3">
      <c r="A340" s="687" t="s">
        <v>228</v>
      </c>
      <c r="B340" s="1795" t="s">
        <v>29</v>
      </c>
      <c r="C340" s="688">
        <v>145</v>
      </c>
      <c r="D340" s="688">
        <v>5</v>
      </c>
      <c r="E340" s="688">
        <v>3.5714285714285698</v>
      </c>
      <c r="F340" s="688">
        <v>1.3741852384642601</v>
      </c>
    </row>
    <row r="341" spans="1:6" x14ac:dyDescent="0.3">
      <c r="A341" s="689" t="s">
        <v>228</v>
      </c>
      <c r="B341" s="1795" t="s">
        <v>230</v>
      </c>
      <c r="C341" s="690">
        <v>3</v>
      </c>
      <c r="D341" s="690">
        <v>-2</v>
      </c>
      <c r="E341" s="690">
        <v>-40</v>
      </c>
      <c r="F341" s="690">
        <v>2.8431418726846801E-2</v>
      </c>
    </row>
    <row r="342" spans="1:6" x14ac:dyDescent="0.3">
      <c r="A342" s="691" t="s">
        <v>228</v>
      </c>
      <c r="B342" s="1795" t="s">
        <v>231</v>
      </c>
      <c r="C342" s="692">
        <v>142</v>
      </c>
      <c r="D342" s="692">
        <v>7</v>
      </c>
      <c r="E342" s="692">
        <v>5.1851851851851896</v>
      </c>
      <c r="F342" s="692">
        <v>1.3457538197374099</v>
      </c>
    </row>
    <row r="343" spans="1:6" x14ac:dyDescent="0.3">
      <c r="A343" s="693" t="s">
        <v>229</v>
      </c>
      <c r="B343" s="1795" t="s">
        <v>29</v>
      </c>
      <c r="C343" s="694">
        <v>7</v>
      </c>
      <c r="D343" s="694">
        <v>-2</v>
      </c>
      <c r="E343" s="694">
        <v>-22.2222222222222</v>
      </c>
      <c r="F343" s="694">
        <v>6.6339977029309105E-2</v>
      </c>
    </row>
    <row r="344" spans="1:6" x14ac:dyDescent="0.3">
      <c r="A344" s="695" t="s">
        <v>229</v>
      </c>
      <c r="B344" s="1795" t="s">
        <v>230</v>
      </c>
      <c r="C344" s="696">
        <v>0</v>
      </c>
      <c r="D344" s="696">
        <v>0</v>
      </c>
      <c r="E344" s="696" t="s">
        <v>38</v>
      </c>
      <c r="F344" s="696">
        <v>0</v>
      </c>
    </row>
    <row r="345" spans="1:6" x14ac:dyDescent="0.3">
      <c r="A345" s="697" t="s">
        <v>229</v>
      </c>
      <c r="B345" s="1795" t="s">
        <v>231</v>
      </c>
      <c r="C345" s="698">
        <v>7</v>
      </c>
      <c r="D345" s="698">
        <v>-2</v>
      </c>
      <c r="E345" s="698">
        <v>-22.2222222222222</v>
      </c>
      <c r="F345" s="698">
        <v>6.6339977029309105E-2</v>
      </c>
    </row>
    <row r="346" spans="1:6" x14ac:dyDescent="0.3">
      <c r="A346" s="699" t="s">
        <v>226</v>
      </c>
      <c r="B346" s="1795" t="s">
        <v>232</v>
      </c>
      <c r="C346" s="700">
        <v>90</v>
      </c>
      <c r="D346" s="700">
        <v>-5</v>
      </c>
      <c r="E346" s="700">
        <v>-5.2631578947368398</v>
      </c>
      <c r="F346" s="700">
        <v>0.85294256180540295</v>
      </c>
    </row>
    <row r="347" spans="1:6" x14ac:dyDescent="0.3">
      <c r="A347" s="701" t="s">
        <v>228</v>
      </c>
      <c r="B347" s="1795" t="s">
        <v>30</v>
      </c>
      <c r="C347" s="702">
        <v>84</v>
      </c>
      <c r="D347" s="702">
        <v>2</v>
      </c>
      <c r="E347" s="702">
        <v>2.4390243902439002</v>
      </c>
      <c r="F347" s="702">
        <v>0.79607972435170904</v>
      </c>
    </row>
    <row r="348" spans="1:6" x14ac:dyDescent="0.3">
      <c r="A348" s="703" t="s">
        <v>228</v>
      </c>
      <c r="B348" s="1795" t="s">
        <v>233</v>
      </c>
      <c r="C348" s="704">
        <v>22</v>
      </c>
      <c r="D348" s="704">
        <v>12</v>
      </c>
      <c r="E348" s="704">
        <v>120</v>
      </c>
      <c r="F348" s="704">
        <v>0.208497070663543</v>
      </c>
    </row>
    <row r="349" spans="1:6" x14ac:dyDescent="0.3">
      <c r="A349" s="705" t="s">
        <v>228</v>
      </c>
      <c r="B349" s="1795" t="s">
        <v>234</v>
      </c>
      <c r="C349" s="706">
        <v>62</v>
      </c>
      <c r="D349" s="706">
        <v>-10</v>
      </c>
      <c r="E349" s="706">
        <v>-13.8888888888889</v>
      </c>
      <c r="F349" s="706">
        <v>0.58758265368816598</v>
      </c>
    </row>
    <row r="350" spans="1:6" x14ac:dyDescent="0.3">
      <c r="A350" s="707" t="s">
        <v>229</v>
      </c>
      <c r="B350" s="1795" t="s">
        <v>232</v>
      </c>
      <c r="C350" s="708">
        <v>6</v>
      </c>
      <c r="D350" s="708">
        <v>-7</v>
      </c>
      <c r="E350" s="708">
        <v>-53.846153846153797</v>
      </c>
      <c r="F350" s="708">
        <v>5.6862837453693499E-2</v>
      </c>
    </row>
    <row r="351" spans="1:6" x14ac:dyDescent="0.3">
      <c r="A351" s="709" t="s">
        <v>229</v>
      </c>
      <c r="B351" s="1795" t="s">
        <v>233</v>
      </c>
      <c r="C351" s="710">
        <v>3</v>
      </c>
      <c r="D351" s="710">
        <v>-4</v>
      </c>
      <c r="E351" s="710">
        <v>-57.142857142857103</v>
      </c>
      <c r="F351" s="710">
        <v>2.8431418726846801E-2</v>
      </c>
    </row>
    <row r="352" spans="1:6" x14ac:dyDescent="0.3">
      <c r="A352" s="711" t="s">
        <v>229</v>
      </c>
      <c r="B352" s="1795" t="s">
        <v>234</v>
      </c>
      <c r="C352" s="712">
        <v>3</v>
      </c>
      <c r="D352" s="712">
        <v>-3</v>
      </c>
      <c r="E352" s="712">
        <v>-50</v>
      </c>
      <c r="F352" s="712">
        <v>2.8431418726846801E-2</v>
      </c>
    </row>
    <row r="353" spans="1:6" x14ac:dyDescent="0.3">
      <c r="A353" s="713" t="s">
        <v>226</v>
      </c>
      <c r="B353" s="1795" t="s">
        <v>235</v>
      </c>
      <c r="C353" s="714">
        <v>26</v>
      </c>
      <c r="D353" s="714">
        <v>-3</v>
      </c>
      <c r="E353" s="714">
        <v>-10.3448275862069</v>
      </c>
      <c r="F353" s="714">
        <v>0.24640562896600501</v>
      </c>
    </row>
    <row r="354" spans="1:6" x14ac:dyDescent="0.3">
      <c r="A354" s="715" t="s">
        <v>226</v>
      </c>
      <c r="B354" s="1795" t="s">
        <v>32</v>
      </c>
      <c r="C354" s="716">
        <v>2</v>
      </c>
      <c r="D354" s="716">
        <v>-2</v>
      </c>
      <c r="E354" s="716">
        <v>-50</v>
      </c>
      <c r="F354" s="716">
        <v>1.8954279151231199E-2</v>
      </c>
    </row>
    <row r="355" spans="1:6" x14ac:dyDescent="0.3">
      <c r="A355" s="717" t="s">
        <v>228</v>
      </c>
      <c r="B355" s="1795" t="s">
        <v>32</v>
      </c>
      <c r="C355" s="718">
        <v>1</v>
      </c>
      <c r="D355" s="718">
        <v>-3</v>
      </c>
      <c r="E355" s="718">
        <v>-75</v>
      </c>
      <c r="F355" s="718">
        <v>9.4771395756155907E-3</v>
      </c>
    </row>
    <row r="356" spans="1:6" x14ac:dyDescent="0.3">
      <c r="A356" s="719" t="s">
        <v>229</v>
      </c>
      <c r="B356" s="1795" t="s">
        <v>32</v>
      </c>
      <c r="C356" s="720">
        <v>1</v>
      </c>
      <c r="D356" s="720">
        <v>1</v>
      </c>
      <c r="E356" s="720" t="s">
        <v>38</v>
      </c>
      <c r="F356" s="720">
        <v>9.4771395756155907E-3</v>
      </c>
    </row>
    <row r="357" spans="1:6" x14ac:dyDescent="0.3">
      <c r="A357" s="721" t="s">
        <v>226</v>
      </c>
      <c r="B357" s="1795" t="s">
        <v>33</v>
      </c>
      <c r="C357" s="722">
        <v>1</v>
      </c>
      <c r="D357" s="722">
        <v>-1</v>
      </c>
      <c r="E357" s="722">
        <v>-50</v>
      </c>
      <c r="F357" s="722">
        <v>9.4771395756155907E-3</v>
      </c>
    </row>
    <row r="358" spans="1:6" x14ac:dyDescent="0.3">
      <c r="A358" s="723" t="s">
        <v>228</v>
      </c>
      <c r="B358" s="1795" t="s">
        <v>33</v>
      </c>
      <c r="C358" s="724">
        <v>1</v>
      </c>
      <c r="D358" s="724">
        <v>-1</v>
      </c>
      <c r="E358" s="724">
        <v>-50</v>
      </c>
      <c r="F358" s="724">
        <v>9.4771395756155907E-3</v>
      </c>
    </row>
    <row r="359" spans="1:6" x14ac:dyDescent="0.3">
      <c r="A359" s="725" t="s">
        <v>229</v>
      </c>
      <c r="B359" s="1795" t="s">
        <v>33</v>
      </c>
      <c r="C359" s="726">
        <v>0</v>
      </c>
      <c r="D359" s="726">
        <v>0</v>
      </c>
      <c r="E359" s="726" t="s">
        <v>38</v>
      </c>
      <c r="F359" s="726">
        <v>0</v>
      </c>
    </row>
    <row r="360" spans="1:6" x14ac:dyDescent="0.3">
      <c r="A360" s="727" t="s">
        <v>226</v>
      </c>
      <c r="B360" s="1795" t="s">
        <v>34</v>
      </c>
      <c r="C360" s="728">
        <v>11</v>
      </c>
      <c r="D360" s="728">
        <v>0</v>
      </c>
      <c r="E360" s="728">
        <v>0</v>
      </c>
      <c r="F360" s="728">
        <v>0.104248535331771</v>
      </c>
    </row>
    <row r="361" spans="1:6" x14ac:dyDescent="0.3">
      <c r="A361" s="729" t="s">
        <v>228</v>
      </c>
      <c r="B361" s="1795" t="s">
        <v>34</v>
      </c>
      <c r="C361" s="730">
        <v>10</v>
      </c>
      <c r="D361" s="730">
        <v>0</v>
      </c>
      <c r="E361" s="730">
        <v>0</v>
      </c>
      <c r="F361" s="730">
        <v>9.4771395756155896E-2</v>
      </c>
    </row>
    <row r="362" spans="1:6" x14ac:dyDescent="0.3">
      <c r="A362" s="731" t="s">
        <v>228</v>
      </c>
      <c r="B362" s="1795" t="s">
        <v>236</v>
      </c>
      <c r="C362" s="732">
        <v>0</v>
      </c>
      <c r="D362" s="732">
        <v>-1</v>
      </c>
      <c r="E362" s="732">
        <v>-100</v>
      </c>
      <c r="F362" s="732">
        <v>0</v>
      </c>
    </row>
    <row r="363" spans="1:6" x14ac:dyDescent="0.3">
      <c r="A363" s="733" t="s">
        <v>228</v>
      </c>
      <c r="B363" s="1795" t="s">
        <v>237</v>
      </c>
      <c r="C363" s="734">
        <v>10</v>
      </c>
      <c r="D363" s="734">
        <v>1</v>
      </c>
      <c r="E363" s="734">
        <v>11.1111111111111</v>
      </c>
      <c r="F363" s="734">
        <v>9.4771395756155896E-2</v>
      </c>
    </row>
    <row r="364" spans="1:6" x14ac:dyDescent="0.3">
      <c r="A364" s="735" t="s">
        <v>229</v>
      </c>
      <c r="B364" s="1795" t="s">
        <v>34</v>
      </c>
      <c r="C364" s="736">
        <v>1</v>
      </c>
      <c r="D364" s="736">
        <v>0</v>
      </c>
      <c r="E364" s="736">
        <v>0</v>
      </c>
      <c r="F364" s="736">
        <v>9.4771395756155907E-3</v>
      </c>
    </row>
    <row r="365" spans="1:6" x14ac:dyDescent="0.3">
      <c r="A365" s="737" t="s">
        <v>229</v>
      </c>
      <c r="B365" s="1795" t="s">
        <v>236</v>
      </c>
      <c r="C365" s="738">
        <v>0</v>
      </c>
      <c r="D365" s="738">
        <v>0</v>
      </c>
      <c r="E365" s="738" t="s">
        <v>38</v>
      </c>
      <c r="F365" s="738">
        <v>0</v>
      </c>
    </row>
    <row r="366" spans="1:6" x14ac:dyDescent="0.3">
      <c r="A366" s="739" t="s">
        <v>229</v>
      </c>
      <c r="B366" s="1795" t="s">
        <v>237</v>
      </c>
      <c r="C366" s="740">
        <v>1</v>
      </c>
      <c r="D366" s="740">
        <v>0</v>
      </c>
      <c r="E366" s="740">
        <v>0</v>
      </c>
      <c r="F366" s="740">
        <v>9.4771395756155907E-3</v>
      </c>
    </row>
    <row r="367" spans="1:6" x14ac:dyDescent="0.3">
      <c r="A367" s="741" t="s">
        <v>226</v>
      </c>
      <c r="B367" s="1795" t="s">
        <v>238</v>
      </c>
      <c r="C367" s="742">
        <v>12</v>
      </c>
      <c r="D367" s="742">
        <v>0</v>
      </c>
      <c r="E367" s="742">
        <v>0</v>
      </c>
      <c r="F367" s="742">
        <v>0.113725674907387</v>
      </c>
    </row>
    <row r="368" spans="1:6" x14ac:dyDescent="0.3">
      <c r="A368" s="743" t="s">
        <v>228</v>
      </c>
      <c r="B368" s="1795" t="s">
        <v>35</v>
      </c>
      <c r="C368" s="744">
        <v>11</v>
      </c>
      <c r="D368" s="744">
        <v>0</v>
      </c>
      <c r="E368" s="744">
        <v>0</v>
      </c>
      <c r="F368" s="744">
        <v>0.104248535331771</v>
      </c>
    </row>
    <row r="369" spans="1:6" x14ac:dyDescent="0.3">
      <c r="A369" s="745" t="s">
        <v>228</v>
      </c>
      <c r="B369" s="1795" t="s">
        <v>239</v>
      </c>
      <c r="C369" s="746">
        <v>1</v>
      </c>
      <c r="D369" s="746">
        <v>0</v>
      </c>
      <c r="E369" s="746">
        <v>0</v>
      </c>
      <c r="F369" s="746">
        <v>9.4771395756155907E-3</v>
      </c>
    </row>
    <row r="370" spans="1:6" x14ac:dyDescent="0.3">
      <c r="A370" s="747" t="s">
        <v>228</v>
      </c>
      <c r="B370" s="1795" t="s">
        <v>240</v>
      </c>
      <c r="C370" s="748">
        <v>10</v>
      </c>
      <c r="D370" s="748">
        <v>0</v>
      </c>
      <c r="E370" s="748">
        <v>0</v>
      </c>
      <c r="F370" s="748">
        <v>9.4771395756155896E-2</v>
      </c>
    </row>
    <row r="371" spans="1:6" x14ac:dyDescent="0.3">
      <c r="A371" s="749" t="s">
        <v>229</v>
      </c>
      <c r="B371" s="1795" t="s">
        <v>35</v>
      </c>
      <c r="C371" s="750">
        <v>1</v>
      </c>
      <c r="D371" s="750">
        <v>0</v>
      </c>
      <c r="E371" s="750">
        <v>0</v>
      </c>
      <c r="F371" s="750">
        <v>9.4771395756155907E-3</v>
      </c>
    </row>
    <row r="372" spans="1:6" x14ac:dyDescent="0.3">
      <c r="A372" s="751" t="s">
        <v>229</v>
      </c>
      <c r="B372" s="1795" t="s">
        <v>239</v>
      </c>
      <c r="C372" s="752">
        <v>0</v>
      </c>
      <c r="D372" s="752">
        <v>0</v>
      </c>
      <c r="E372" s="752" t="s">
        <v>38</v>
      </c>
      <c r="F372" s="752">
        <v>0</v>
      </c>
    </row>
    <row r="373" spans="1:6" x14ac:dyDescent="0.3">
      <c r="A373" s="753" t="s">
        <v>229</v>
      </c>
      <c r="B373" s="1795" t="s">
        <v>240</v>
      </c>
      <c r="C373" s="754">
        <v>1</v>
      </c>
      <c r="D373" s="754">
        <v>0</v>
      </c>
      <c r="E373" s="754">
        <v>0</v>
      </c>
      <c r="F373" s="754">
        <v>9.4771395756155907E-3</v>
      </c>
    </row>
    <row r="374" spans="1:6" x14ac:dyDescent="0.3">
      <c r="A374" s="755" t="s">
        <v>241</v>
      </c>
      <c r="B374" s="1795" t="s">
        <v>242</v>
      </c>
      <c r="C374" s="756">
        <v>19</v>
      </c>
      <c r="D374" s="756">
        <v>-2</v>
      </c>
      <c r="E374" s="756">
        <v>-9.5238095238095202</v>
      </c>
      <c r="F374" s="756">
        <v>0.18006565193669599</v>
      </c>
    </row>
    <row r="375" spans="1:6" x14ac:dyDescent="0.3">
      <c r="A375" s="757" t="s">
        <v>241</v>
      </c>
      <c r="B375" s="1795" t="s">
        <v>72</v>
      </c>
      <c r="C375" s="758">
        <v>1</v>
      </c>
      <c r="D375" s="758">
        <v>-1</v>
      </c>
      <c r="E375" s="758">
        <v>-50</v>
      </c>
      <c r="F375" s="758">
        <v>9.4771395756155907E-3</v>
      </c>
    </row>
    <row r="376" spans="1:6" x14ac:dyDescent="0.3">
      <c r="A376" s="759" t="s">
        <v>241</v>
      </c>
      <c r="B376" s="1795" t="s">
        <v>243</v>
      </c>
      <c r="C376" s="760">
        <v>0</v>
      </c>
      <c r="D376" s="760">
        <v>0</v>
      </c>
      <c r="E376" s="760" t="s">
        <v>38</v>
      </c>
      <c r="F376" s="760">
        <v>0</v>
      </c>
    </row>
    <row r="377" spans="1:6" x14ac:dyDescent="0.3">
      <c r="A377" s="761" t="s">
        <v>241</v>
      </c>
      <c r="B377" s="1795" t="s">
        <v>244</v>
      </c>
      <c r="C377" s="762">
        <v>1</v>
      </c>
      <c r="D377" s="762">
        <v>-1</v>
      </c>
      <c r="E377" s="762">
        <v>-50</v>
      </c>
      <c r="F377" s="762">
        <v>9.4771395756155907E-3</v>
      </c>
    </row>
    <row r="378" spans="1:6" x14ac:dyDescent="0.3">
      <c r="A378" s="763" t="s">
        <v>241</v>
      </c>
      <c r="B378" s="1795" t="s">
        <v>79</v>
      </c>
      <c r="C378" s="764">
        <v>1</v>
      </c>
      <c r="D378" s="764">
        <v>1</v>
      </c>
      <c r="E378" s="764" t="s">
        <v>38</v>
      </c>
      <c r="F378" s="764">
        <v>9.4771395756155907E-3</v>
      </c>
    </row>
    <row r="379" spans="1:6" x14ac:dyDescent="0.3">
      <c r="A379" s="765" t="s">
        <v>241</v>
      </c>
      <c r="B379" s="1795" t="s">
        <v>245</v>
      </c>
      <c r="C379" s="766">
        <v>0</v>
      </c>
      <c r="D379" s="766">
        <v>0</v>
      </c>
      <c r="E379" s="766" t="s">
        <v>38</v>
      </c>
      <c r="F379" s="766">
        <v>0</v>
      </c>
    </row>
    <row r="380" spans="1:6" x14ac:dyDescent="0.3">
      <c r="A380" s="767" t="s">
        <v>241</v>
      </c>
      <c r="B380" s="1795" t="s">
        <v>246</v>
      </c>
      <c r="C380" s="768">
        <v>1</v>
      </c>
      <c r="D380" s="768">
        <v>1</v>
      </c>
      <c r="E380" s="768" t="s">
        <v>38</v>
      </c>
      <c r="F380" s="768">
        <v>9.4771395756155907E-3</v>
      </c>
    </row>
    <row r="381" spans="1:6" x14ac:dyDescent="0.3">
      <c r="A381" s="769" t="s">
        <v>241</v>
      </c>
      <c r="B381" s="1795" t="s">
        <v>26</v>
      </c>
      <c r="C381" s="770">
        <v>17</v>
      </c>
      <c r="D381" s="770">
        <v>-1</v>
      </c>
      <c r="E381" s="770">
        <v>-5.5555555555555598</v>
      </c>
      <c r="F381" s="770">
        <v>0.161111372785465</v>
      </c>
    </row>
    <row r="382" spans="1:6" x14ac:dyDescent="0.3">
      <c r="A382" s="771" t="s">
        <v>241</v>
      </c>
      <c r="B382" s="1795" t="s">
        <v>27</v>
      </c>
      <c r="C382" s="772">
        <v>10</v>
      </c>
      <c r="D382" s="772">
        <v>0</v>
      </c>
      <c r="E382" s="772">
        <v>0</v>
      </c>
      <c r="F382" s="772">
        <v>9.4771395756155896E-2</v>
      </c>
    </row>
    <row r="383" spans="1:6" x14ac:dyDescent="0.3">
      <c r="A383" s="773" t="s">
        <v>241</v>
      </c>
      <c r="B383" s="1795" t="s">
        <v>28</v>
      </c>
      <c r="C383" s="774">
        <v>0</v>
      </c>
      <c r="D383" s="774">
        <v>0</v>
      </c>
      <c r="E383" s="774" t="s">
        <v>38</v>
      </c>
      <c r="F383" s="774">
        <v>0</v>
      </c>
    </row>
    <row r="384" spans="1:6" x14ac:dyDescent="0.3">
      <c r="A384" s="775" t="s">
        <v>241</v>
      </c>
      <c r="B384" s="1795" t="s">
        <v>29</v>
      </c>
      <c r="C384" s="776">
        <v>4</v>
      </c>
      <c r="D384" s="776">
        <v>-3</v>
      </c>
      <c r="E384" s="776">
        <v>-42.857142857142897</v>
      </c>
      <c r="F384" s="776">
        <v>3.79085583024623E-2</v>
      </c>
    </row>
    <row r="385" spans="1:6" x14ac:dyDescent="0.3">
      <c r="A385" s="777" t="s">
        <v>241</v>
      </c>
      <c r="B385" s="1795" t="s">
        <v>230</v>
      </c>
      <c r="C385" s="778">
        <v>1</v>
      </c>
      <c r="D385" s="778">
        <v>1</v>
      </c>
      <c r="E385" s="778" t="s">
        <v>38</v>
      </c>
      <c r="F385" s="778">
        <v>9.4771395756155907E-3</v>
      </c>
    </row>
    <row r="386" spans="1:6" x14ac:dyDescent="0.3">
      <c r="A386" s="779" t="s">
        <v>241</v>
      </c>
      <c r="B386" s="1795" t="s">
        <v>231</v>
      </c>
      <c r="C386" s="780">
        <v>3</v>
      </c>
      <c r="D386" s="780">
        <v>-4</v>
      </c>
      <c r="E386" s="780">
        <v>-57.142857142857103</v>
      </c>
      <c r="F386" s="780">
        <v>2.8431418726846801E-2</v>
      </c>
    </row>
    <row r="387" spans="1:6" x14ac:dyDescent="0.3">
      <c r="A387" s="781" t="s">
        <v>241</v>
      </c>
      <c r="B387" s="1795" t="s">
        <v>30</v>
      </c>
      <c r="C387" s="782">
        <v>3</v>
      </c>
      <c r="D387" s="782">
        <v>2</v>
      </c>
      <c r="E387" s="782">
        <v>200</v>
      </c>
      <c r="F387" s="782">
        <v>2.8431418726846801E-2</v>
      </c>
    </row>
    <row r="388" spans="1:6" x14ac:dyDescent="0.3">
      <c r="A388" s="783" t="s">
        <v>241</v>
      </c>
      <c r="B388" s="1795" t="s">
        <v>233</v>
      </c>
      <c r="C388" s="784">
        <v>0</v>
      </c>
      <c r="D388" s="784">
        <v>0</v>
      </c>
      <c r="E388" s="784" t="s">
        <v>38</v>
      </c>
      <c r="F388" s="784">
        <v>0</v>
      </c>
    </row>
    <row r="389" spans="1:6" x14ac:dyDescent="0.3">
      <c r="A389" s="785" t="s">
        <v>241</v>
      </c>
      <c r="B389" s="1795" t="s">
        <v>234</v>
      </c>
      <c r="C389" s="786">
        <v>3</v>
      </c>
      <c r="D389" s="786">
        <v>2</v>
      </c>
      <c r="E389" s="786">
        <v>200</v>
      </c>
      <c r="F389" s="786">
        <v>2.8431418726846801E-2</v>
      </c>
    </row>
    <row r="390" spans="1:6" x14ac:dyDescent="0.3">
      <c r="A390" s="787" t="s">
        <v>241</v>
      </c>
      <c r="B390" s="1795" t="s">
        <v>31</v>
      </c>
      <c r="C390" s="788">
        <v>0</v>
      </c>
      <c r="D390" s="788">
        <v>-1</v>
      </c>
      <c r="E390" s="788">
        <v>-100</v>
      </c>
      <c r="F390" s="788">
        <v>0</v>
      </c>
    </row>
    <row r="391" spans="1:6" x14ac:dyDescent="0.3">
      <c r="A391" s="789" t="s">
        <v>241</v>
      </c>
      <c r="B391" s="1795" t="s">
        <v>32</v>
      </c>
      <c r="C391" s="790">
        <v>0</v>
      </c>
      <c r="D391" s="790">
        <v>0</v>
      </c>
      <c r="E391" s="790" t="s">
        <v>38</v>
      </c>
      <c r="F391" s="790">
        <v>0</v>
      </c>
    </row>
    <row r="392" spans="1:6" x14ac:dyDescent="0.3">
      <c r="A392" s="791" t="s">
        <v>241</v>
      </c>
      <c r="B392" s="1795" t="s">
        <v>247</v>
      </c>
      <c r="C392" s="792">
        <v>0</v>
      </c>
      <c r="D392" s="792">
        <v>0</v>
      </c>
      <c r="E392" s="792" t="s">
        <v>38</v>
      </c>
      <c r="F392" s="792">
        <v>0</v>
      </c>
    </row>
    <row r="393" spans="1:6" x14ac:dyDescent="0.3">
      <c r="A393" s="793" t="s">
        <v>241</v>
      </c>
      <c r="B393" s="1795" t="s">
        <v>34</v>
      </c>
      <c r="C393" s="794">
        <v>0</v>
      </c>
      <c r="D393" s="794">
        <v>-1</v>
      </c>
      <c r="E393" s="794">
        <v>-100</v>
      </c>
      <c r="F393" s="794">
        <v>0</v>
      </c>
    </row>
    <row r="394" spans="1:6" x14ac:dyDescent="0.3">
      <c r="A394" s="795" t="s">
        <v>241</v>
      </c>
      <c r="B394" s="1795" t="s">
        <v>236</v>
      </c>
      <c r="C394" s="796">
        <v>0</v>
      </c>
      <c r="D394" s="796">
        <v>0</v>
      </c>
      <c r="E394" s="796" t="s">
        <v>38</v>
      </c>
      <c r="F394" s="796">
        <v>0</v>
      </c>
    </row>
    <row r="395" spans="1:6" x14ac:dyDescent="0.3">
      <c r="A395" s="797" t="s">
        <v>241</v>
      </c>
      <c r="B395" s="1795" t="s">
        <v>237</v>
      </c>
      <c r="C395" s="798">
        <v>0</v>
      </c>
      <c r="D395" s="798">
        <v>-1</v>
      </c>
      <c r="E395" s="798">
        <v>-100</v>
      </c>
      <c r="F395" s="798">
        <v>0</v>
      </c>
    </row>
    <row r="396" spans="1:6" x14ac:dyDescent="0.3">
      <c r="A396" s="799" t="s">
        <v>241</v>
      </c>
      <c r="B396" s="1795" t="s">
        <v>35</v>
      </c>
      <c r="C396" s="800">
        <v>0</v>
      </c>
      <c r="D396" s="800">
        <v>0</v>
      </c>
      <c r="E396" s="800" t="s">
        <v>38</v>
      </c>
      <c r="F396" s="800">
        <v>0</v>
      </c>
    </row>
    <row r="397" spans="1:6" x14ac:dyDescent="0.3">
      <c r="A397" s="801" t="s">
        <v>241</v>
      </c>
      <c r="B397" s="1795" t="s">
        <v>239</v>
      </c>
      <c r="C397" s="802">
        <v>0</v>
      </c>
      <c r="D397" s="802">
        <v>0</v>
      </c>
      <c r="E397" s="802" t="s">
        <v>38</v>
      </c>
      <c r="F397" s="802">
        <v>0</v>
      </c>
    </row>
    <row r="398" spans="1:6" x14ac:dyDescent="0.3">
      <c r="A398" s="803" t="s">
        <v>241</v>
      </c>
      <c r="B398" s="1795" t="s">
        <v>240</v>
      </c>
      <c r="C398" s="804">
        <v>0</v>
      </c>
      <c r="D398" s="804">
        <v>0</v>
      </c>
      <c r="E398" s="804" t="s">
        <v>38</v>
      </c>
      <c r="F398" s="804">
        <v>0</v>
      </c>
    </row>
    <row r="399" spans="1:6" x14ac:dyDescent="0.3">
      <c r="A399" s="805" t="s">
        <v>248</v>
      </c>
      <c r="B399" s="1795" t="s">
        <v>249</v>
      </c>
      <c r="C399" s="806">
        <v>25</v>
      </c>
      <c r="D399" s="806">
        <v>4</v>
      </c>
      <c r="E399" s="806">
        <v>19.047619047619001</v>
      </c>
      <c r="F399" s="806">
        <v>0.23692848939038999</v>
      </c>
    </row>
    <row r="400" spans="1:6" x14ac:dyDescent="0.3">
      <c r="A400" s="807" t="s">
        <v>248</v>
      </c>
      <c r="B400" s="1795" t="s">
        <v>72</v>
      </c>
      <c r="C400" s="808">
        <v>5</v>
      </c>
      <c r="D400" s="808">
        <v>0</v>
      </c>
      <c r="E400" s="808">
        <v>0</v>
      </c>
      <c r="F400" s="808">
        <v>4.73856978780779E-2</v>
      </c>
    </row>
    <row r="401" spans="1:6" x14ac:dyDescent="0.3">
      <c r="A401" s="809" t="s">
        <v>248</v>
      </c>
      <c r="B401" s="1795" t="s">
        <v>79</v>
      </c>
      <c r="C401" s="810">
        <v>0</v>
      </c>
      <c r="D401" s="810">
        <v>0</v>
      </c>
      <c r="E401" s="810" t="s">
        <v>38</v>
      </c>
      <c r="F401" s="810">
        <v>0</v>
      </c>
    </row>
    <row r="402" spans="1:6" x14ac:dyDescent="0.3">
      <c r="A402" s="811" t="s">
        <v>248</v>
      </c>
      <c r="B402" s="1795" t="s">
        <v>26</v>
      </c>
      <c r="C402" s="812">
        <v>17</v>
      </c>
      <c r="D402" s="812">
        <v>5</v>
      </c>
      <c r="E402" s="812">
        <v>41.6666666666667</v>
      </c>
      <c r="F402" s="812">
        <v>0.161111372785465</v>
      </c>
    </row>
    <row r="403" spans="1:6" x14ac:dyDescent="0.3">
      <c r="A403" s="813" t="s">
        <v>248</v>
      </c>
      <c r="B403" s="1795" t="s">
        <v>27</v>
      </c>
      <c r="C403" s="814">
        <v>4</v>
      </c>
      <c r="D403" s="814">
        <v>4</v>
      </c>
      <c r="E403" s="814" t="s">
        <v>38</v>
      </c>
      <c r="F403" s="814">
        <v>3.79085583024623E-2</v>
      </c>
    </row>
    <row r="404" spans="1:6" x14ac:dyDescent="0.3">
      <c r="A404" s="815" t="s">
        <v>248</v>
      </c>
      <c r="B404" s="1795" t="s">
        <v>28</v>
      </c>
      <c r="C404" s="816">
        <v>0</v>
      </c>
      <c r="D404" s="816">
        <v>-2</v>
      </c>
      <c r="E404" s="816">
        <v>-100</v>
      </c>
      <c r="F404" s="816">
        <v>0</v>
      </c>
    </row>
    <row r="405" spans="1:6" x14ac:dyDescent="0.3">
      <c r="A405" s="817" t="s">
        <v>248</v>
      </c>
      <c r="B405" s="1795" t="s">
        <v>29</v>
      </c>
      <c r="C405" s="818">
        <v>5</v>
      </c>
      <c r="D405" s="818">
        <v>1</v>
      </c>
      <c r="E405" s="818">
        <v>25</v>
      </c>
      <c r="F405" s="818">
        <v>4.73856978780779E-2</v>
      </c>
    </row>
    <row r="406" spans="1:6" x14ac:dyDescent="0.3">
      <c r="A406" s="819" t="s">
        <v>248</v>
      </c>
      <c r="B406" s="1795" t="s">
        <v>30</v>
      </c>
      <c r="C406" s="820">
        <v>8</v>
      </c>
      <c r="D406" s="820">
        <v>2</v>
      </c>
      <c r="E406" s="820">
        <v>33.3333333333333</v>
      </c>
      <c r="F406" s="820">
        <v>7.5817116604924698E-2</v>
      </c>
    </row>
    <row r="407" spans="1:6" x14ac:dyDescent="0.3">
      <c r="A407" s="821" t="s">
        <v>248</v>
      </c>
      <c r="B407" s="1795" t="s">
        <v>31</v>
      </c>
      <c r="C407" s="822">
        <v>3</v>
      </c>
      <c r="D407" s="822">
        <v>-1</v>
      </c>
      <c r="E407" s="822">
        <v>-25</v>
      </c>
      <c r="F407" s="822">
        <v>2.8431418726846801E-2</v>
      </c>
    </row>
    <row r="408" spans="1:6" x14ac:dyDescent="0.3">
      <c r="A408" s="823" t="s">
        <v>248</v>
      </c>
      <c r="B408" s="1795" t="s">
        <v>32</v>
      </c>
      <c r="C408" s="824">
        <v>1</v>
      </c>
      <c r="D408" s="824">
        <v>1</v>
      </c>
      <c r="E408" s="824" t="s">
        <v>38</v>
      </c>
      <c r="F408" s="824">
        <v>9.4771395756155907E-3</v>
      </c>
    </row>
    <row r="409" spans="1:6" x14ac:dyDescent="0.3">
      <c r="A409" s="825" t="s">
        <v>248</v>
      </c>
      <c r="B409" s="1795" t="s">
        <v>33</v>
      </c>
      <c r="C409" s="826">
        <v>0</v>
      </c>
      <c r="D409" s="826">
        <v>0</v>
      </c>
      <c r="E409" s="826" t="s">
        <v>38</v>
      </c>
      <c r="F409" s="826">
        <v>0</v>
      </c>
    </row>
    <row r="410" spans="1:6" x14ac:dyDescent="0.3">
      <c r="A410" s="827" t="s">
        <v>248</v>
      </c>
      <c r="B410" s="1795" t="s">
        <v>34</v>
      </c>
      <c r="C410" s="828">
        <v>0</v>
      </c>
      <c r="D410" s="828">
        <v>-4</v>
      </c>
      <c r="E410" s="828">
        <v>-100</v>
      </c>
      <c r="F410" s="828">
        <v>0</v>
      </c>
    </row>
    <row r="411" spans="1:6" x14ac:dyDescent="0.3">
      <c r="A411" s="829" t="s">
        <v>248</v>
      </c>
      <c r="B411" s="1795" t="s">
        <v>35</v>
      </c>
      <c r="C411" s="830">
        <v>2</v>
      </c>
      <c r="D411" s="830">
        <v>2</v>
      </c>
      <c r="E411" s="830" t="s">
        <v>38</v>
      </c>
      <c r="F411" s="830">
        <v>1.8954279151231199E-2</v>
      </c>
    </row>
    <row r="412" spans="1:6" x14ac:dyDescent="0.3">
      <c r="A412" s="831" t="s">
        <v>250</v>
      </c>
      <c r="B412" s="1795" t="s">
        <v>251</v>
      </c>
      <c r="C412" s="832">
        <v>0</v>
      </c>
      <c r="D412" s="832">
        <v>-1</v>
      </c>
      <c r="E412" s="832">
        <v>-100</v>
      </c>
      <c r="F412" s="832">
        <v>0</v>
      </c>
    </row>
    <row r="413" spans="1:6" x14ac:dyDescent="0.3">
      <c r="A413" s="833" t="s">
        <v>250</v>
      </c>
      <c r="B413" s="1795" t="s">
        <v>72</v>
      </c>
      <c r="C413" s="834">
        <v>0</v>
      </c>
      <c r="D413" s="834">
        <v>0</v>
      </c>
      <c r="E413" s="834" t="s">
        <v>38</v>
      </c>
      <c r="F413" s="834">
        <v>0</v>
      </c>
    </row>
    <row r="414" spans="1:6" x14ac:dyDescent="0.3">
      <c r="A414" s="835" t="s">
        <v>250</v>
      </c>
      <c r="B414" s="1795" t="s">
        <v>79</v>
      </c>
      <c r="C414" s="836">
        <v>0</v>
      </c>
      <c r="D414" s="836">
        <v>0</v>
      </c>
      <c r="E414" s="836" t="s">
        <v>38</v>
      </c>
      <c r="F414" s="836">
        <v>0</v>
      </c>
    </row>
    <row r="415" spans="1:6" x14ac:dyDescent="0.3">
      <c r="A415" s="837" t="s">
        <v>250</v>
      </c>
      <c r="B415" s="1795" t="s">
        <v>26</v>
      </c>
      <c r="C415" s="838">
        <v>0</v>
      </c>
      <c r="D415" s="838">
        <v>-1</v>
      </c>
      <c r="E415" s="838">
        <v>-100</v>
      </c>
      <c r="F415" s="838">
        <v>0</v>
      </c>
    </row>
    <row r="416" spans="1:6" x14ac:dyDescent="0.3">
      <c r="A416" s="839" t="s">
        <v>250</v>
      </c>
      <c r="B416" s="1795" t="s">
        <v>252</v>
      </c>
      <c r="C416" s="840">
        <v>0</v>
      </c>
      <c r="D416" s="840">
        <v>0</v>
      </c>
      <c r="E416" s="840" t="s">
        <v>38</v>
      </c>
      <c r="F416" s="840">
        <v>0</v>
      </c>
    </row>
    <row r="417" spans="1:6" x14ac:dyDescent="0.3">
      <c r="A417" s="841" t="s">
        <v>250</v>
      </c>
      <c r="B417" s="1795" t="s">
        <v>28</v>
      </c>
      <c r="C417" s="842">
        <v>0</v>
      </c>
      <c r="D417" s="842">
        <v>0</v>
      </c>
      <c r="E417" s="842" t="s">
        <v>38</v>
      </c>
      <c r="F417" s="842">
        <v>0</v>
      </c>
    </row>
    <row r="418" spans="1:6" x14ac:dyDescent="0.3">
      <c r="A418" s="843" t="s">
        <v>250</v>
      </c>
      <c r="B418" s="1795" t="s">
        <v>29</v>
      </c>
      <c r="C418" s="844">
        <v>0</v>
      </c>
      <c r="D418" s="844">
        <v>-1</v>
      </c>
      <c r="E418" s="844">
        <v>-100</v>
      </c>
      <c r="F418" s="844">
        <v>0</v>
      </c>
    </row>
    <row r="419" spans="1:6" x14ac:dyDescent="0.3">
      <c r="A419" s="845" t="s">
        <v>250</v>
      </c>
      <c r="B419" s="1795" t="s">
        <v>30</v>
      </c>
      <c r="C419" s="846">
        <v>0</v>
      </c>
      <c r="D419" s="846">
        <v>0</v>
      </c>
      <c r="E419" s="846" t="s">
        <v>38</v>
      </c>
      <c r="F419" s="846">
        <v>0</v>
      </c>
    </row>
    <row r="420" spans="1:6" x14ac:dyDescent="0.3">
      <c r="A420" s="847" t="s">
        <v>250</v>
      </c>
      <c r="B420" s="1795" t="s">
        <v>31</v>
      </c>
      <c r="C420" s="848">
        <v>0</v>
      </c>
      <c r="D420" s="848">
        <v>0</v>
      </c>
      <c r="E420" s="848" t="s">
        <v>38</v>
      </c>
      <c r="F420" s="848">
        <v>0</v>
      </c>
    </row>
    <row r="421" spans="1:6" x14ac:dyDescent="0.3">
      <c r="A421" s="849" t="s">
        <v>250</v>
      </c>
      <c r="B421" s="1795" t="s">
        <v>32</v>
      </c>
      <c r="C421" s="850">
        <v>0</v>
      </c>
      <c r="D421" s="850">
        <v>0</v>
      </c>
      <c r="E421" s="850" t="s">
        <v>38</v>
      </c>
      <c r="F421" s="850">
        <v>0</v>
      </c>
    </row>
    <row r="422" spans="1:6" x14ac:dyDescent="0.3">
      <c r="A422" s="851" t="s">
        <v>250</v>
      </c>
      <c r="B422" s="1795" t="s">
        <v>33</v>
      </c>
      <c r="C422" s="852">
        <v>0</v>
      </c>
      <c r="D422" s="852">
        <v>0</v>
      </c>
      <c r="E422" s="852" t="s">
        <v>38</v>
      </c>
      <c r="F422" s="852">
        <v>0</v>
      </c>
    </row>
    <row r="423" spans="1:6" x14ac:dyDescent="0.3">
      <c r="A423" s="853" t="s">
        <v>250</v>
      </c>
      <c r="B423" s="1795" t="s">
        <v>34</v>
      </c>
      <c r="C423" s="854">
        <v>0</v>
      </c>
      <c r="D423" s="854">
        <v>0</v>
      </c>
      <c r="E423" s="854" t="s">
        <v>38</v>
      </c>
      <c r="F423" s="854">
        <v>0</v>
      </c>
    </row>
    <row r="424" spans="1:6" x14ac:dyDescent="0.3">
      <c r="A424" s="855" t="s">
        <v>250</v>
      </c>
      <c r="B424" s="1795" t="s">
        <v>35</v>
      </c>
      <c r="C424" s="856">
        <v>0</v>
      </c>
      <c r="D424" s="856">
        <v>0</v>
      </c>
      <c r="E424" s="856" t="s">
        <v>38</v>
      </c>
      <c r="F424" s="856">
        <v>0</v>
      </c>
    </row>
    <row r="425" spans="1:6" x14ac:dyDescent="0.3">
      <c r="A425" s="857" t="s">
        <v>253</v>
      </c>
      <c r="B425" s="1795" t="s">
        <v>254</v>
      </c>
      <c r="C425" s="858">
        <v>9</v>
      </c>
      <c r="D425" s="858">
        <v>4</v>
      </c>
      <c r="E425" s="858">
        <v>80</v>
      </c>
      <c r="F425" s="858">
        <v>8.5294256180540304E-2</v>
      </c>
    </row>
    <row r="426" spans="1:6" x14ac:dyDescent="0.3">
      <c r="A426" s="859" t="s">
        <v>253</v>
      </c>
      <c r="B426" s="1795" t="s">
        <v>255</v>
      </c>
      <c r="C426" s="860">
        <v>6</v>
      </c>
      <c r="D426" s="860">
        <v>2</v>
      </c>
      <c r="E426" s="860">
        <v>50</v>
      </c>
      <c r="F426" s="860">
        <v>5.6862837453693499E-2</v>
      </c>
    </row>
    <row r="427" spans="1:6" x14ac:dyDescent="0.3">
      <c r="A427" s="861" t="s">
        <v>253</v>
      </c>
      <c r="B427" s="1795" t="s">
        <v>256</v>
      </c>
      <c r="C427" s="862">
        <v>2</v>
      </c>
      <c r="D427" s="862">
        <v>1</v>
      </c>
      <c r="E427" s="862">
        <v>100</v>
      </c>
      <c r="F427" s="862">
        <v>1.8954279151231199E-2</v>
      </c>
    </row>
    <row r="428" spans="1:6" x14ac:dyDescent="0.3">
      <c r="A428" s="863" t="s">
        <v>253</v>
      </c>
      <c r="B428" s="1795" t="s">
        <v>257</v>
      </c>
      <c r="C428" s="864">
        <v>1</v>
      </c>
      <c r="D428" s="864">
        <v>1</v>
      </c>
      <c r="E428" s="864" t="s">
        <v>38</v>
      </c>
      <c r="F428" s="864">
        <v>9.4771395756155907E-3</v>
      </c>
    </row>
    <row r="429" spans="1:6" x14ac:dyDescent="0.3">
      <c r="A429" s="865" t="s">
        <v>253</v>
      </c>
      <c r="B429" s="1795" t="s">
        <v>258</v>
      </c>
      <c r="C429" s="866">
        <v>0</v>
      </c>
      <c r="D429" s="866">
        <v>0</v>
      </c>
      <c r="E429" s="866" t="s">
        <v>38</v>
      </c>
      <c r="F429" s="866">
        <v>0</v>
      </c>
    </row>
    <row r="430" spans="1:6" x14ac:dyDescent="0.3">
      <c r="A430" s="867" t="s">
        <v>259</v>
      </c>
      <c r="B430" s="1795" t="s">
        <v>260</v>
      </c>
      <c r="C430" s="868">
        <v>53</v>
      </c>
      <c r="D430" s="868">
        <v>-1</v>
      </c>
      <c r="E430" s="868">
        <v>-1.8518518518518501</v>
      </c>
      <c r="F430" s="868">
        <v>0.50228839750762599</v>
      </c>
    </row>
    <row r="431" spans="1:6" x14ac:dyDescent="0.3">
      <c r="A431" s="869" t="s">
        <v>259</v>
      </c>
      <c r="B431" s="1795" t="s">
        <v>261</v>
      </c>
      <c r="C431" s="870">
        <v>38</v>
      </c>
      <c r="D431" s="870">
        <v>-5</v>
      </c>
      <c r="E431" s="870">
        <v>-11.6279069767442</v>
      </c>
      <c r="F431" s="870">
        <v>0.36013130387339198</v>
      </c>
    </row>
    <row r="432" spans="1:6" x14ac:dyDescent="0.3">
      <c r="A432" s="871" t="s">
        <v>259</v>
      </c>
      <c r="B432" s="1795" t="s">
        <v>262</v>
      </c>
      <c r="C432" s="872">
        <v>15</v>
      </c>
      <c r="D432" s="872">
        <v>6</v>
      </c>
      <c r="E432" s="872">
        <v>66.6666666666667</v>
      </c>
      <c r="F432" s="872">
        <v>0.14215709363423401</v>
      </c>
    </row>
    <row r="433" spans="1:6" x14ac:dyDescent="0.3">
      <c r="A433" s="873" t="s">
        <v>259</v>
      </c>
      <c r="B433" s="1795" t="s">
        <v>72</v>
      </c>
      <c r="C433" s="874">
        <v>0</v>
      </c>
      <c r="D433" s="874">
        <v>-1</v>
      </c>
      <c r="E433" s="874">
        <v>-100</v>
      </c>
      <c r="F433" s="874">
        <v>0</v>
      </c>
    </row>
    <row r="434" spans="1:6" x14ac:dyDescent="0.3">
      <c r="A434" s="875" t="s">
        <v>259</v>
      </c>
      <c r="B434" s="1795" t="s">
        <v>79</v>
      </c>
      <c r="C434" s="876">
        <v>0</v>
      </c>
      <c r="D434" s="876">
        <v>-1</v>
      </c>
      <c r="E434" s="876">
        <v>-100</v>
      </c>
      <c r="F434" s="876">
        <v>0</v>
      </c>
    </row>
    <row r="435" spans="1:6" x14ac:dyDescent="0.3">
      <c r="A435" s="877" t="s">
        <v>263</v>
      </c>
      <c r="B435" s="1795" t="s">
        <v>264</v>
      </c>
      <c r="C435" s="878">
        <v>1</v>
      </c>
      <c r="D435" s="878">
        <v>0</v>
      </c>
      <c r="E435" s="878">
        <v>0</v>
      </c>
      <c r="F435" s="878">
        <v>9.4771395756155907E-3</v>
      </c>
    </row>
    <row r="436" spans="1:6" x14ac:dyDescent="0.3">
      <c r="A436" s="879" t="s">
        <v>263</v>
      </c>
      <c r="B436" s="1795" t="s">
        <v>265</v>
      </c>
      <c r="C436" s="880">
        <v>0</v>
      </c>
      <c r="D436" s="880">
        <v>0</v>
      </c>
      <c r="E436" s="880" t="s">
        <v>38</v>
      </c>
      <c r="F436" s="880">
        <v>0</v>
      </c>
    </row>
    <row r="437" spans="1:6" x14ac:dyDescent="0.3">
      <c r="A437" s="881" t="s">
        <v>263</v>
      </c>
      <c r="B437" s="1795" t="s">
        <v>266</v>
      </c>
      <c r="C437" s="882">
        <v>0</v>
      </c>
      <c r="D437" s="882">
        <v>0</v>
      </c>
      <c r="E437" s="882" t="s">
        <v>38</v>
      </c>
      <c r="F437" s="882">
        <v>0</v>
      </c>
    </row>
    <row r="438" spans="1:6" x14ac:dyDescent="0.3">
      <c r="A438" s="883" t="s">
        <v>263</v>
      </c>
      <c r="B438" s="1795" t="s">
        <v>267</v>
      </c>
      <c r="C438" s="884">
        <v>0</v>
      </c>
      <c r="D438" s="884">
        <v>0</v>
      </c>
      <c r="E438" s="884" t="s">
        <v>38</v>
      </c>
      <c r="F438" s="884">
        <v>0</v>
      </c>
    </row>
    <row r="439" spans="1:6" x14ac:dyDescent="0.3">
      <c r="A439" s="885" t="s">
        <v>263</v>
      </c>
      <c r="B439" s="1795" t="s">
        <v>268</v>
      </c>
      <c r="C439" s="886">
        <v>1</v>
      </c>
      <c r="D439" s="886">
        <v>0</v>
      </c>
      <c r="E439" s="886">
        <v>0</v>
      </c>
      <c r="F439" s="886">
        <v>9.4771395756155907E-3</v>
      </c>
    </row>
    <row r="440" spans="1:6" x14ac:dyDescent="0.3">
      <c r="A440" s="887" t="s">
        <v>269</v>
      </c>
      <c r="B440" s="1795" t="s">
        <v>270</v>
      </c>
      <c r="C440" s="888">
        <v>110</v>
      </c>
      <c r="D440" s="888">
        <v>23</v>
      </c>
      <c r="E440" s="888">
        <v>26.4367816091954</v>
      </c>
      <c r="F440" s="888">
        <v>1.0424853533177101</v>
      </c>
    </row>
    <row r="441" spans="1:6" x14ac:dyDescent="0.3">
      <c r="A441" s="889" t="s">
        <v>271</v>
      </c>
      <c r="B441" s="1795" t="s">
        <v>272</v>
      </c>
      <c r="C441" s="890">
        <v>7</v>
      </c>
      <c r="D441" s="890">
        <v>-3</v>
      </c>
      <c r="E441" s="890">
        <v>-30</v>
      </c>
      <c r="F441" s="890">
        <v>6.6339977029309105E-2</v>
      </c>
    </row>
    <row r="442" spans="1:6" x14ac:dyDescent="0.3">
      <c r="A442" s="891" t="s">
        <v>273</v>
      </c>
      <c r="B442" s="1795" t="s">
        <v>274</v>
      </c>
      <c r="C442" s="892">
        <v>659</v>
      </c>
      <c r="D442" s="892">
        <v>42</v>
      </c>
      <c r="E442" s="892">
        <v>6.8071312803889796</v>
      </c>
      <c r="F442" s="892">
        <v>6.2454349803306703</v>
      </c>
    </row>
    <row r="443" spans="1:6" x14ac:dyDescent="0.3">
      <c r="A443" s="893" t="s">
        <v>273</v>
      </c>
      <c r="B443" s="1795" t="s">
        <v>275</v>
      </c>
      <c r="C443" s="894">
        <v>197</v>
      </c>
      <c r="D443" s="894">
        <v>34</v>
      </c>
      <c r="E443" s="894">
        <v>20.858895705521501</v>
      </c>
      <c r="F443" s="894">
        <v>1.86699649639627</v>
      </c>
    </row>
    <row r="444" spans="1:6" x14ac:dyDescent="0.3">
      <c r="A444" s="895" t="s">
        <v>273</v>
      </c>
      <c r="B444" s="1795" t="s">
        <v>276</v>
      </c>
      <c r="C444" s="896">
        <v>155</v>
      </c>
      <c r="D444" s="896">
        <v>29</v>
      </c>
      <c r="E444" s="896">
        <v>23.015873015873002</v>
      </c>
      <c r="F444" s="896">
        <v>1.4689566342204201</v>
      </c>
    </row>
    <row r="445" spans="1:6" x14ac:dyDescent="0.3">
      <c r="A445" s="897" t="s">
        <v>273</v>
      </c>
      <c r="B445" s="1795" t="s">
        <v>277</v>
      </c>
      <c r="C445" s="898">
        <v>42</v>
      </c>
      <c r="D445" s="898">
        <v>5</v>
      </c>
      <c r="E445" s="898">
        <v>13.5135135135135</v>
      </c>
      <c r="F445" s="898">
        <v>0.39803986217585502</v>
      </c>
    </row>
    <row r="446" spans="1:6" x14ac:dyDescent="0.3">
      <c r="A446" s="899" t="s">
        <v>273</v>
      </c>
      <c r="B446" s="1795" t="s">
        <v>278</v>
      </c>
      <c r="C446" s="900">
        <v>56</v>
      </c>
      <c r="D446" s="900">
        <v>-32</v>
      </c>
      <c r="E446" s="900">
        <v>-36.363636363636402</v>
      </c>
      <c r="F446" s="900">
        <v>0.53071981623447295</v>
      </c>
    </row>
    <row r="447" spans="1:6" x14ac:dyDescent="0.3">
      <c r="A447" s="901" t="s">
        <v>273</v>
      </c>
      <c r="B447" s="1795" t="s">
        <v>279</v>
      </c>
      <c r="C447" s="902">
        <v>47</v>
      </c>
      <c r="D447" s="902">
        <v>-30</v>
      </c>
      <c r="E447" s="902">
        <v>-38.961038961039002</v>
      </c>
      <c r="F447" s="902">
        <v>0.44542556005393302</v>
      </c>
    </row>
    <row r="448" spans="1:6" x14ac:dyDescent="0.3">
      <c r="A448" s="903" t="s">
        <v>273</v>
      </c>
      <c r="B448" s="1795" t="s">
        <v>280</v>
      </c>
      <c r="C448" s="904">
        <v>9</v>
      </c>
      <c r="D448" s="904">
        <v>-2</v>
      </c>
      <c r="E448" s="904">
        <v>-18.181818181818201</v>
      </c>
      <c r="F448" s="904">
        <v>8.5294256180540304E-2</v>
      </c>
    </row>
    <row r="449" spans="1:6" x14ac:dyDescent="0.3">
      <c r="A449" s="905" t="s">
        <v>273</v>
      </c>
      <c r="B449" s="1795" t="s">
        <v>281</v>
      </c>
      <c r="C449" s="906">
        <v>406</v>
      </c>
      <c r="D449" s="906">
        <v>51</v>
      </c>
      <c r="E449" s="906">
        <v>14.366197183098601</v>
      </c>
      <c r="F449" s="906">
        <v>3.84771866769993</v>
      </c>
    </row>
    <row r="450" spans="1:6" x14ac:dyDescent="0.3">
      <c r="A450" s="907" t="s">
        <v>273</v>
      </c>
      <c r="B450" s="1795" t="s">
        <v>282</v>
      </c>
      <c r="C450" s="908">
        <v>356</v>
      </c>
      <c r="D450" s="908">
        <v>56</v>
      </c>
      <c r="E450" s="908">
        <v>18.6666666666667</v>
      </c>
      <c r="F450" s="908">
        <v>3.3738616889191499</v>
      </c>
    </row>
    <row r="451" spans="1:6" x14ac:dyDescent="0.3">
      <c r="A451" s="909" t="s">
        <v>273</v>
      </c>
      <c r="B451" s="1795" t="s">
        <v>283</v>
      </c>
      <c r="C451" s="910">
        <v>23</v>
      </c>
      <c r="D451" s="910">
        <v>8</v>
      </c>
      <c r="E451" s="910">
        <v>53.3333333333333</v>
      </c>
      <c r="F451" s="910">
        <v>0.217974210239158</v>
      </c>
    </row>
    <row r="452" spans="1:6" x14ac:dyDescent="0.3">
      <c r="A452" s="911" t="s">
        <v>273</v>
      </c>
      <c r="B452" s="1795" t="s">
        <v>910</v>
      </c>
      <c r="C452" s="912">
        <v>8</v>
      </c>
      <c r="D452" s="912">
        <v>6</v>
      </c>
      <c r="E452" s="912">
        <v>300</v>
      </c>
      <c r="F452" s="912">
        <v>7.5817116604924698E-2</v>
      </c>
    </row>
    <row r="453" spans="1:6" x14ac:dyDescent="0.3">
      <c r="A453" s="913" t="s">
        <v>273</v>
      </c>
      <c r="B453" s="1795" t="s">
        <v>911</v>
      </c>
      <c r="C453" s="914">
        <v>125</v>
      </c>
      <c r="D453" s="914">
        <v>16</v>
      </c>
      <c r="E453" s="914">
        <v>14.678899082568799</v>
      </c>
      <c r="F453" s="914">
        <v>1.1846424469519501</v>
      </c>
    </row>
    <row r="454" spans="1:6" x14ac:dyDescent="0.3">
      <c r="A454" s="915" t="s">
        <v>273</v>
      </c>
      <c r="B454" s="1795" t="s">
        <v>284</v>
      </c>
      <c r="C454" s="916">
        <v>200</v>
      </c>
      <c r="D454" s="916">
        <v>26</v>
      </c>
      <c r="E454" s="916">
        <v>14.9425287356322</v>
      </c>
      <c r="F454" s="916">
        <v>1.8954279151231199</v>
      </c>
    </row>
    <row r="455" spans="1:6" x14ac:dyDescent="0.3">
      <c r="A455" s="917" t="s">
        <v>273</v>
      </c>
      <c r="B455" s="1795" t="s">
        <v>285</v>
      </c>
      <c r="C455" s="918">
        <v>50</v>
      </c>
      <c r="D455" s="918">
        <v>-5</v>
      </c>
      <c r="E455" s="918">
        <v>-9.0909090909090899</v>
      </c>
      <c r="F455" s="918">
        <v>0.47385697878077898</v>
      </c>
    </row>
    <row r="456" spans="1:6" x14ac:dyDescent="0.3">
      <c r="A456" s="919" t="s">
        <v>273</v>
      </c>
      <c r="B456" s="1795" t="s">
        <v>286</v>
      </c>
      <c r="C456" s="920">
        <v>4</v>
      </c>
      <c r="D456" s="920">
        <v>-1</v>
      </c>
      <c r="E456" s="920">
        <v>-20</v>
      </c>
      <c r="F456" s="920">
        <v>3.79085583024623E-2</v>
      </c>
    </row>
    <row r="457" spans="1:6" x14ac:dyDescent="0.3">
      <c r="A457" s="921" t="s">
        <v>273</v>
      </c>
      <c r="B457" s="1795" t="s">
        <v>287</v>
      </c>
      <c r="C457" s="922">
        <v>1</v>
      </c>
      <c r="D457" s="922">
        <v>-1</v>
      </c>
      <c r="E457" s="922">
        <v>-50</v>
      </c>
      <c r="F457" s="922">
        <v>9.4771395756155907E-3</v>
      </c>
    </row>
    <row r="458" spans="1:6" x14ac:dyDescent="0.3">
      <c r="A458" s="923" t="s">
        <v>273</v>
      </c>
      <c r="B458" s="1795" t="s">
        <v>912</v>
      </c>
      <c r="C458" s="924">
        <v>13</v>
      </c>
      <c r="D458" s="924">
        <v>-6</v>
      </c>
      <c r="E458" s="924">
        <v>-31.578947368421101</v>
      </c>
      <c r="F458" s="924">
        <v>0.12320281448300301</v>
      </c>
    </row>
    <row r="459" spans="1:6" x14ac:dyDescent="0.3">
      <c r="A459" s="925" t="s">
        <v>273</v>
      </c>
      <c r="B459" s="1795" t="s">
        <v>288</v>
      </c>
      <c r="C459" s="926">
        <v>32</v>
      </c>
      <c r="D459" s="926">
        <v>3</v>
      </c>
      <c r="E459" s="926">
        <v>10.3448275862069</v>
      </c>
      <c r="F459" s="926">
        <v>0.30326846641969901</v>
      </c>
    </row>
    <row r="460" spans="1:6" x14ac:dyDescent="0.3">
      <c r="A460" s="927" t="s">
        <v>289</v>
      </c>
      <c r="B460" s="1795" t="s">
        <v>290</v>
      </c>
      <c r="C460" s="928">
        <v>16</v>
      </c>
      <c r="D460" s="928">
        <v>-1</v>
      </c>
      <c r="E460" s="928">
        <v>-5.8823529411764701</v>
      </c>
      <c r="F460" s="928">
        <v>0.15163423320984901</v>
      </c>
    </row>
    <row r="461" spans="1:6" x14ac:dyDescent="0.3">
      <c r="A461" s="929" t="s">
        <v>289</v>
      </c>
      <c r="B461" s="1795" t="s">
        <v>291</v>
      </c>
      <c r="C461" s="930">
        <v>9</v>
      </c>
      <c r="D461" s="930">
        <v>-7</v>
      </c>
      <c r="E461" s="930">
        <v>-43.75</v>
      </c>
      <c r="F461" s="930">
        <v>8.5294256180540304E-2</v>
      </c>
    </row>
    <row r="462" spans="1:6" x14ac:dyDescent="0.3">
      <c r="A462" s="931" t="s">
        <v>289</v>
      </c>
      <c r="B462" s="1795" t="s">
        <v>292</v>
      </c>
      <c r="C462" s="932">
        <v>7</v>
      </c>
      <c r="D462" s="932">
        <v>6</v>
      </c>
      <c r="E462" s="932">
        <v>600</v>
      </c>
      <c r="F462" s="932">
        <v>6.6339977029309105E-2</v>
      </c>
    </row>
    <row r="463" spans="1:6" x14ac:dyDescent="0.3">
      <c r="A463" s="933" t="s">
        <v>293</v>
      </c>
      <c r="B463" s="1795" t="s">
        <v>294</v>
      </c>
      <c r="C463" s="934">
        <v>86</v>
      </c>
      <c r="D463" s="934">
        <v>-48</v>
      </c>
      <c r="E463" s="934">
        <v>-35.820895522388099</v>
      </c>
      <c r="F463" s="934">
        <v>0.81503400350293997</v>
      </c>
    </row>
    <row r="464" spans="1:6" x14ac:dyDescent="0.3">
      <c r="A464" s="935" t="s">
        <v>295</v>
      </c>
      <c r="B464" s="1795" t="s">
        <v>296</v>
      </c>
      <c r="C464" s="936">
        <v>9</v>
      </c>
      <c r="D464" s="936">
        <v>3</v>
      </c>
      <c r="E464" s="936">
        <v>50</v>
      </c>
      <c r="F464" s="936">
        <v>8.5294256180540304E-2</v>
      </c>
    </row>
    <row r="465" spans="1:6" x14ac:dyDescent="0.3">
      <c r="A465" s="937" t="s">
        <v>297</v>
      </c>
      <c r="B465" s="19" t="s">
        <v>298</v>
      </c>
      <c r="C465" s="938">
        <v>139</v>
      </c>
      <c r="D465" s="938">
        <v>25</v>
      </c>
      <c r="E465" s="938">
        <v>21.9298245614035</v>
      </c>
      <c r="F465" s="938">
        <v>1.31732240101057</v>
      </c>
    </row>
    <row r="466" spans="1:6" x14ac:dyDescent="0.3">
      <c r="A466" s="939" t="s">
        <v>299</v>
      </c>
      <c r="B466" s="1795" t="s">
        <v>300</v>
      </c>
      <c r="C466" s="940">
        <v>138</v>
      </c>
      <c r="D466" s="940">
        <v>27</v>
      </c>
      <c r="E466" s="940">
        <v>24.324324324324301</v>
      </c>
      <c r="F466" s="940">
        <v>1.3078452614349501</v>
      </c>
    </row>
    <row r="467" spans="1:6" x14ac:dyDescent="0.3">
      <c r="A467" s="941" t="s">
        <v>301</v>
      </c>
      <c r="B467" s="1795" t="s">
        <v>302</v>
      </c>
      <c r="C467" s="942">
        <v>1</v>
      </c>
      <c r="D467" s="942">
        <v>-2</v>
      </c>
      <c r="E467" s="942">
        <v>-66.6666666666667</v>
      </c>
      <c r="F467" s="942">
        <v>9.4771395756155907E-3</v>
      </c>
    </row>
    <row r="468" spans="1:6" x14ac:dyDescent="0.3">
      <c r="A468" s="943" t="s">
        <v>303</v>
      </c>
      <c r="B468" s="1794" t="s">
        <v>304</v>
      </c>
      <c r="C468" s="944">
        <v>57256</v>
      </c>
      <c r="D468" s="944">
        <v>-7052</v>
      </c>
      <c r="E468" s="944">
        <v>-10.9659762393481</v>
      </c>
      <c r="F468" s="944">
        <v>542.62310354144597</v>
      </c>
    </row>
    <row r="469" spans="1:6" x14ac:dyDescent="0.3">
      <c r="A469" s="945" t="s">
        <v>305</v>
      </c>
      <c r="B469" s="19" t="s">
        <v>306</v>
      </c>
      <c r="C469" s="946">
        <v>22323</v>
      </c>
      <c r="D469" s="946">
        <v>-2642</v>
      </c>
      <c r="E469" s="946">
        <v>-10.582815942319201</v>
      </c>
      <c r="F469" s="946">
        <v>211.55818674646699</v>
      </c>
    </row>
    <row r="470" spans="1:6" x14ac:dyDescent="0.3">
      <c r="A470" s="947" t="s">
        <v>307</v>
      </c>
      <c r="B470" s="1795" t="s">
        <v>308</v>
      </c>
      <c r="C470" s="948">
        <v>644</v>
      </c>
      <c r="D470" s="948">
        <v>-200</v>
      </c>
      <c r="E470" s="948">
        <v>-23.696682464455002</v>
      </c>
      <c r="F470" s="948">
        <v>6.1032778866964401</v>
      </c>
    </row>
    <row r="471" spans="1:6" x14ac:dyDescent="0.3">
      <c r="A471" s="949" t="s">
        <v>307</v>
      </c>
      <c r="B471" s="1795" t="s">
        <v>309</v>
      </c>
      <c r="C471" s="950">
        <v>423</v>
      </c>
      <c r="D471" s="950">
        <v>-157</v>
      </c>
      <c r="E471" s="950">
        <v>-27.068965517241399</v>
      </c>
      <c r="F471" s="950">
        <v>4.0088300404853898</v>
      </c>
    </row>
    <row r="472" spans="1:6" x14ac:dyDescent="0.3">
      <c r="A472" s="951" t="s">
        <v>310</v>
      </c>
      <c r="B472" s="1795" t="s">
        <v>309</v>
      </c>
      <c r="C472" s="952">
        <v>54</v>
      </c>
      <c r="D472" s="952">
        <v>-34</v>
      </c>
      <c r="E472" s="952">
        <v>-38.636363636363598</v>
      </c>
      <c r="F472" s="952">
        <v>0.51176553708324202</v>
      </c>
    </row>
    <row r="473" spans="1:6" x14ac:dyDescent="0.3">
      <c r="A473" s="953" t="s">
        <v>311</v>
      </c>
      <c r="B473" s="1795" t="s">
        <v>312</v>
      </c>
      <c r="C473" s="954">
        <v>369</v>
      </c>
      <c r="D473" s="954">
        <v>-123</v>
      </c>
      <c r="E473" s="954">
        <v>-25</v>
      </c>
      <c r="F473" s="954">
        <v>3.4970645034021501</v>
      </c>
    </row>
    <row r="474" spans="1:6" ht="21.6" x14ac:dyDescent="0.3">
      <c r="A474" s="955" t="s">
        <v>311</v>
      </c>
      <c r="B474" s="1795" t="s">
        <v>913</v>
      </c>
      <c r="C474" s="956">
        <v>47</v>
      </c>
      <c r="D474" s="956">
        <v>-7</v>
      </c>
      <c r="E474" s="956">
        <v>-12.962962962962999</v>
      </c>
      <c r="F474" s="956">
        <v>0.44542556005393302</v>
      </c>
    </row>
    <row r="475" spans="1:6" x14ac:dyDescent="0.3">
      <c r="A475" s="957" t="s">
        <v>311</v>
      </c>
      <c r="B475" s="1795" t="s">
        <v>313</v>
      </c>
      <c r="C475" s="958">
        <v>322</v>
      </c>
      <c r="D475" s="958">
        <v>-116</v>
      </c>
      <c r="E475" s="958">
        <v>-26.484018264840198</v>
      </c>
      <c r="F475" s="958">
        <v>3.0516389433482201</v>
      </c>
    </row>
    <row r="476" spans="1:6" x14ac:dyDescent="0.3">
      <c r="A476" s="959" t="s">
        <v>307</v>
      </c>
      <c r="B476" s="1795" t="s">
        <v>314</v>
      </c>
      <c r="C476" s="960">
        <v>46</v>
      </c>
      <c r="D476" s="960">
        <v>2</v>
      </c>
      <c r="E476" s="960">
        <v>4.5454545454545503</v>
      </c>
      <c r="F476" s="960">
        <v>0.435948420478317</v>
      </c>
    </row>
    <row r="477" spans="1:6" x14ac:dyDescent="0.3">
      <c r="A477" s="961" t="s">
        <v>307</v>
      </c>
      <c r="B477" s="1795" t="s">
        <v>315</v>
      </c>
      <c r="C477" s="962">
        <v>89</v>
      </c>
      <c r="D477" s="962">
        <v>-12</v>
      </c>
      <c r="E477" s="962">
        <v>-11.881188118811901</v>
      </c>
      <c r="F477" s="962">
        <v>0.84346542222978704</v>
      </c>
    </row>
    <row r="478" spans="1:6" x14ac:dyDescent="0.3">
      <c r="A478" s="963" t="s">
        <v>307</v>
      </c>
      <c r="B478" s="1795" t="s">
        <v>316</v>
      </c>
      <c r="C478" s="964">
        <v>10</v>
      </c>
      <c r="D478" s="964">
        <v>1</v>
      </c>
      <c r="E478" s="964">
        <v>11.1111111111111</v>
      </c>
      <c r="F478" s="964">
        <v>9.4771395756155896E-2</v>
      </c>
    </row>
    <row r="479" spans="1:6" x14ac:dyDescent="0.3">
      <c r="A479" s="965" t="s">
        <v>307</v>
      </c>
      <c r="B479" s="1795" t="s">
        <v>317</v>
      </c>
      <c r="C479" s="966">
        <v>76</v>
      </c>
      <c r="D479" s="966">
        <v>-34</v>
      </c>
      <c r="E479" s="966">
        <v>-30.909090909090899</v>
      </c>
      <c r="F479" s="966">
        <v>0.72026260774678497</v>
      </c>
    </row>
    <row r="480" spans="1:6" x14ac:dyDescent="0.3">
      <c r="A480" s="967" t="s">
        <v>318</v>
      </c>
      <c r="B480" s="1795" t="s">
        <v>319</v>
      </c>
      <c r="C480" s="968">
        <v>2742</v>
      </c>
      <c r="D480" s="968">
        <v>399</v>
      </c>
      <c r="E480" s="968">
        <v>17.029449423815599</v>
      </c>
      <c r="F480" s="968">
        <v>25.9863167163379</v>
      </c>
    </row>
    <row r="481" spans="1:6" x14ac:dyDescent="0.3">
      <c r="A481" s="969" t="s">
        <v>318</v>
      </c>
      <c r="B481" s="1795" t="s">
        <v>320</v>
      </c>
      <c r="C481" s="970">
        <v>2341</v>
      </c>
      <c r="D481" s="970">
        <v>226</v>
      </c>
      <c r="E481" s="970">
        <v>10.6855791962175</v>
      </c>
      <c r="F481" s="970">
        <v>22.185983746516101</v>
      </c>
    </row>
    <row r="482" spans="1:6" x14ac:dyDescent="0.3">
      <c r="A482" s="971" t="s">
        <v>318</v>
      </c>
      <c r="B482" s="1795" t="s">
        <v>321</v>
      </c>
      <c r="C482" s="972">
        <v>750</v>
      </c>
      <c r="D482" s="972">
        <v>80</v>
      </c>
      <c r="E482" s="972">
        <v>11.9402985074627</v>
      </c>
      <c r="F482" s="972">
        <v>7.1078546817116903</v>
      </c>
    </row>
    <row r="483" spans="1:6" x14ac:dyDescent="0.3">
      <c r="A483" s="973" t="s">
        <v>318</v>
      </c>
      <c r="B483" s="1795" t="s">
        <v>322</v>
      </c>
      <c r="C483" s="974">
        <v>1591</v>
      </c>
      <c r="D483" s="974">
        <v>146</v>
      </c>
      <c r="E483" s="974">
        <v>10.103806228373699</v>
      </c>
      <c r="F483" s="974">
        <v>15.078129064804401</v>
      </c>
    </row>
    <row r="484" spans="1:6" x14ac:dyDescent="0.3">
      <c r="A484" s="975" t="s">
        <v>318</v>
      </c>
      <c r="B484" s="1795" t="s">
        <v>316</v>
      </c>
      <c r="C484" s="976">
        <v>9</v>
      </c>
      <c r="D484" s="976">
        <v>7</v>
      </c>
      <c r="E484" s="976">
        <v>350</v>
      </c>
      <c r="F484" s="976">
        <v>8.5294256180540304E-2</v>
      </c>
    </row>
    <row r="485" spans="1:6" x14ac:dyDescent="0.3">
      <c r="A485" s="977" t="s">
        <v>318</v>
      </c>
      <c r="B485" s="1795" t="s">
        <v>323</v>
      </c>
      <c r="C485" s="978">
        <v>392</v>
      </c>
      <c r="D485" s="978">
        <v>166</v>
      </c>
      <c r="E485" s="978">
        <v>73.451327433628293</v>
      </c>
      <c r="F485" s="978">
        <v>3.7150387136413099</v>
      </c>
    </row>
    <row r="486" spans="1:6" x14ac:dyDescent="0.3">
      <c r="A486" s="979" t="s">
        <v>324</v>
      </c>
      <c r="B486" s="1795" t="s">
        <v>325</v>
      </c>
      <c r="C486" s="980">
        <v>4356</v>
      </c>
      <c r="D486" s="980">
        <v>-1010</v>
      </c>
      <c r="E486" s="980">
        <v>-18.8222139396198</v>
      </c>
      <c r="F486" s="980">
        <v>41.282419991381502</v>
      </c>
    </row>
    <row r="487" spans="1:6" x14ac:dyDescent="0.3">
      <c r="A487" s="981" t="s">
        <v>318</v>
      </c>
      <c r="B487" s="1795" t="s">
        <v>914</v>
      </c>
      <c r="C487" s="982">
        <v>180</v>
      </c>
      <c r="D487" s="982">
        <v>-1</v>
      </c>
      <c r="E487" s="982">
        <v>-0.55248618784530401</v>
      </c>
      <c r="F487" s="982">
        <v>1.7058851236108099</v>
      </c>
    </row>
    <row r="488" spans="1:6" x14ac:dyDescent="0.3">
      <c r="A488" s="983" t="s">
        <v>318</v>
      </c>
      <c r="B488" s="1795" t="s">
        <v>326</v>
      </c>
      <c r="C488" s="984">
        <v>103</v>
      </c>
      <c r="D488" s="984">
        <v>-1</v>
      </c>
      <c r="E488" s="984">
        <v>-0.96153846153846201</v>
      </c>
      <c r="F488" s="984">
        <v>0.97614537628840503</v>
      </c>
    </row>
    <row r="489" spans="1:6" x14ac:dyDescent="0.3">
      <c r="A489" s="985" t="s">
        <v>318</v>
      </c>
      <c r="B489" s="1795" t="s">
        <v>327</v>
      </c>
      <c r="C489" s="986">
        <v>77</v>
      </c>
      <c r="D489" s="986">
        <v>0</v>
      </c>
      <c r="E489" s="986">
        <v>0</v>
      </c>
      <c r="F489" s="986">
        <v>0.72973974732239999</v>
      </c>
    </row>
    <row r="490" spans="1:6" ht="21.6" x14ac:dyDescent="0.3">
      <c r="A490" s="987" t="s">
        <v>318</v>
      </c>
      <c r="B490" s="1795" t="s">
        <v>915</v>
      </c>
      <c r="C490" s="988">
        <v>136</v>
      </c>
      <c r="D490" s="988">
        <v>1</v>
      </c>
      <c r="E490" s="988">
        <v>0.74074074074074103</v>
      </c>
      <c r="F490" s="988">
        <v>1.28889098228372</v>
      </c>
    </row>
    <row r="491" spans="1:6" x14ac:dyDescent="0.3">
      <c r="A491" s="989" t="s">
        <v>318</v>
      </c>
      <c r="B491" s="1795" t="s">
        <v>328</v>
      </c>
      <c r="C491" s="990">
        <v>140</v>
      </c>
      <c r="D491" s="990">
        <v>-20</v>
      </c>
      <c r="E491" s="990">
        <v>-12.5</v>
      </c>
      <c r="F491" s="990">
        <v>1.3267995405861801</v>
      </c>
    </row>
    <row r="492" spans="1:6" x14ac:dyDescent="0.3">
      <c r="A492" s="991" t="s">
        <v>318</v>
      </c>
      <c r="B492" s="1795" t="s">
        <v>329</v>
      </c>
      <c r="C492" s="992">
        <v>124</v>
      </c>
      <c r="D492" s="992">
        <v>-24</v>
      </c>
      <c r="E492" s="992">
        <v>-16.2162162162162</v>
      </c>
      <c r="F492" s="992">
        <v>1.17516530737633</v>
      </c>
    </row>
    <row r="493" spans="1:6" x14ac:dyDescent="0.3">
      <c r="A493" s="993" t="s">
        <v>318</v>
      </c>
      <c r="B493" s="1795" t="s">
        <v>330</v>
      </c>
      <c r="C493" s="994">
        <v>11</v>
      </c>
      <c r="D493" s="994">
        <v>6</v>
      </c>
      <c r="E493" s="994">
        <v>120</v>
      </c>
      <c r="F493" s="994">
        <v>0.104248535331771</v>
      </c>
    </row>
    <row r="494" spans="1:6" x14ac:dyDescent="0.3">
      <c r="A494" s="995" t="s">
        <v>318</v>
      </c>
      <c r="B494" s="1795" t="s">
        <v>331</v>
      </c>
      <c r="C494" s="996">
        <v>5</v>
      </c>
      <c r="D494" s="996">
        <v>-2</v>
      </c>
      <c r="E494" s="996">
        <v>-28.571428571428601</v>
      </c>
      <c r="F494" s="996">
        <v>4.73856978780779E-2</v>
      </c>
    </row>
    <row r="495" spans="1:6" x14ac:dyDescent="0.3">
      <c r="A495" s="997" t="s">
        <v>318</v>
      </c>
      <c r="B495" s="1795" t="s">
        <v>916</v>
      </c>
      <c r="C495" s="998">
        <v>866</v>
      </c>
      <c r="D495" s="998">
        <v>-206</v>
      </c>
      <c r="E495" s="998">
        <v>-19.216417910447799</v>
      </c>
      <c r="F495" s="998">
        <v>8.2072028724830997</v>
      </c>
    </row>
    <row r="496" spans="1:6" x14ac:dyDescent="0.3">
      <c r="A496" s="999" t="s">
        <v>318</v>
      </c>
      <c r="B496" s="1795" t="s">
        <v>332</v>
      </c>
      <c r="C496" s="1000">
        <v>144</v>
      </c>
      <c r="D496" s="1000">
        <v>-36</v>
      </c>
      <c r="E496" s="1000">
        <v>-20</v>
      </c>
      <c r="F496" s="1000">
        <v>1.36470809888864</v>
      </c>
    </row>
    <row r="497" spans="1:6" x14ac:dyDescent="0.3">
      <c r="A497" s="1001" t="s">
        <v>318</v>
      </c>
      <c r="B497" s="1795" t="s">
        <v>917</v>
      </c>
      <c r="C497" s="1002">
        <v>722</v>
      </c>
      <c r="D497" s="1002">
        <v>-170</v>
      </c>
      <c r="E497" s="1002">
        <v>-19.058295964125598</v>
      </c>
      <c r="F497" s="1002">
        <v>6.8424947735944501</v>
      </c>
    </row>
    <row r="498" spans="1:6" x14ac:dyDescent="0.3">
      <c r="A498" s="1003" t="s">
        <v>324</v>
      </c>
      <c r="B498" s="1795" t="s">
        <v>333</v>
      </c>
      <c r="C498" s="1004">
        <v>2527</v>
      </c>
      <c r="D498" s="1004">
        <v>-668</v>
      </c>
      <c r="E498" s="1004">
        <v>-20.9076682316119</v>
      </c>
      <c r="F498" s="1004">
        <v>23.948731707580599</v>
      </c>
    </row>
    <row r="499" spans="1:6" x14ac:dyDescent="0.3">
      <c r="A499" s="1005" t="s">
        <v>334</v>
      </c>
      <c r="B499" s="1795" t="s">
        <v>335</v>
      </c>
      <c r="C499" s="1006">
        <v>1062</v>
      </c>
      <c r="D499" s="1006">
        <v>126</v>
      </c>
      <c r="E499" s="1006">
        <v>13.461538461538501</v>
      </c>
      <c r="F499" s="1006">
        <v>10.064722229303801</v>
      </c>
    </row>
    <row r="500" spans="1:6" x14ac:dyDescent="0.3">
      <c r="A500" s="1007" t="s">
        <v>334</v>
      </c>
      <c r="B500" s="1795" t="s">
        <v>336</v>
      </c>
      <c r="C500" s="1008">
        <v>664</v>
      </c>
      <c r="D500" s="1008">
        <v>196</v>
      </c>
      <c r="E500" s="1008">
        <v>41.880341880341902</v>
      </c>
      <c r="F500" s="1008">
        <v>6.2928206782087504</v>
      </c>
    </row>
    <row r="501" spans="1:6" x14ac:dyDescent="0.3">
      <c r="A501" s="1009" t="s">
        <v>337</v>
      </c>
      <c r="B501" s="1795" t="s">
        <v>338</v>
      </c>
      <c r="C501" s="1010">
        <v>521</v>
      </c>
      <c r="D501" s="1010">
        <v>170</v>
      </c>
      <c r="E501" s="1010">
        <v>48.433048433048398</v>
      </c>
      <c r="F501" s="1010">
        <v>4.9375897188957198</v>
      </c>
    </row>
    <row r="502" spans="1:6" x14ac:dyDescent="0.3">
      <c r="A502" s="1011" t="s">
        <v>339</v>
      </c>
      <c r="B502" s="1795" t="s">
        <v>338</v>
      </c>
      <c r="C502" s="1012">
        <v>143</v>
      </c>
      <c r="D502" s="1012">
        <v>26</v>
      </c>
      <c r="E502" s="1012">
        <v>22.2222222222222</v>
      </c>
      <c r="F502" s="1012">
        <v>1.3552309593130301</v>
      </c>
    </row>
    <row r="503" spans="1:6" x14ac:dyDescent="0.3">
      <c r="A503" s="1013" t="s">
        <v>334</v>
      </c>
      <c r="B503" s="1795" t="s">
        <v>340</v>
      </c>
      <c r="C503" s="1014">
        <v>398</v>
      </c>
      <c r="D503" s="1014">
        <v>-70</v>
      </c>
      <c r="E503" s="1014">
        <v>-14.957264957265</v>
      </c>
      <c r="F503" s="1014">
        <v>3.771901551095</v>
      </c>
    </row>
    <row r="504" spans="1:6" x14ac:dyDescent="0.3">
      <c r="A504" s="1015" t="s">
        <v>337</v>
      </c>
      <c r="B504" s="1795" t="s">
        <v>341</v>
      </c>
      <c r="C504" s="1016">
        <v>286</v>
      </c>
      <c r="D504" s="1016">
        <v>-52</v>
      </c>
      <c r="E504" s="1016">
        <v>-15.384615384615399</v>
      </c>
      <c r="F504" s="1016">
        <v>2.7104619186260601</v>
      </c>
    </row>
    <row r="505" spans="1:6" x14ac:dyDescent="0.3">
      <c r="A505" s="1017" t="s">
        <v>339</v>
      </c>
      <c r="B505" s="1795" t="s">
        <v>341</v>
      </c>
      <c r="C505" s="1018">
        <v>112</v>
      </c>
      <c r="D505" s="1018">
        <v>-18</v>
      </c>
      <c r="E505" s="1018">
        <v>-13.846153846153801</v>
      </c>
      <c r="F505" s="1018">
        <v>1.0614396324689499</v>
      </c>
    </row>
    <row r="506" spans="1:6" x14ac:dyDescent="0.3">
      <c r="A506" s="1019" t="s">
        <v>318</v>
      </c>
      <c r="B506" s="1795" t="s">
        <v>342</v>
      </c>
      <c r="C506" s="1020">
        <v>1263</v>
      </c>
      <c r="D506" s="1020">
        <v>-835</v>
      </c>
      <c r="E506" s="1020">
        <v>-39.799809342230702</v>
      </c>
      <c r="F506" s="1020">
        <v>11.969627284002501</v>
      </c>
    </row>
    <row r="507" spans="1:6" x14ac:dyDescent="0.3">
      <c r="A507" s="1021" t="s">
        <v>334</v>
      </c>
      <c r="B507" s="1795" t="s">
        <v>343</v>
      </c>
      <c r="C507" s="1022">
        <v>139</v>
      </c>
      <c r="D507" s="1022">
        <v>-22</v>
      </c>
      <c r="E507" s="1022">
        <v>-13.664596273291901</v>
      </c>
      <c r="F507" s="1022">
        <v>1.31732240101057</v>
      </c>
    </row>
    <row r="508" spans="1:6" x14ac:dyDescent="0.3">
      <c r="A508" s="1023" t="s">
        <v>318</v>
      </c>
      <c r="B508" s="1795" t="s">
        <v>344</v>
      </c>
      <c r="C508" s="1024">
        <v>507</v>
      </c>
      <c r="D508" s="1024">
        <v>-116</v>
      </c>
      <c r="E508" s="1024">
        <v>-18.619582664526501</v>
      </c>
      <c r="F508" s="1024">
        <v>4.8049097648370998</v>
      </c>
    </row>
    <row r="509" spans="1:6" x14ac:dyDescent="0.3">
      <c r="A509" s="1025" t="s">
        <v>318</v>
      </c>
      <c r="B509" s="1795" t="s">
        <v>345</v>
      </c>
      <c r="C509" s="1026">
        <v>6</v>
      </c>
      <c r="D509" s="1026">
        <v>-6</v>
      </c>
      <c r="E509" s="1026">
        <v>-50</v>
      </c>
      <c r="F509" s="1026">
        <v>5.6862837453693499E-2</v>
      </c>
    </row>
    <row r="510" spans="1:6" ht="21.6" x14ac:dyDescent="0.3">
      <c r="A510" s="1027" t="s">
        <v>318</v>
      </c>
      <c r="B510" s="1795" t="s">
        <v>918</v>
      </c>
      <c r="C510" s="1028">
        <v>0</v>
      </c>
      <c r="D510" s="1028">
        <v>-1</v>
      </c>
      <c r="E510" s="1028">
        <v>-100</v>
      </c>
      <c r="F510" s="1028">
        <v>0</v>
      </c>
    </row>
    <row r="511" spans="1:6" ht="21.6" x14ac:dyDescent="0.3">
      <c r="A511" s="1029" t="s">
        <v>318</v>
      </c>
      <c r="B511" s="1795" t="s">
        <v>919</v>
      </c>
      <c r="C511" s="1030">
        <v>1</v>
      </c>
      <c r="D511" s="1030">
        <v>1</v>
      </c>
      <c r="E511" s="1030" t="s">
        <v>38</v>
      </c>
      <c r="F511" s="1030">
        <v>9.4771395756155907E-3</v>
      </c>
    </row>
    <row r="512" spans="1:6" ht="21.6" x14ac:dyDescent="0.3">
      <c r="A512" s="1031" t="s">
        <v>318</v>
      </c>
      <c r="B512" s="1795" t="s">
        <v>920</v>
      </c>
      <c r="C512" s="1032">
        <v>3</v>
      </c>
      <c r="D512" s="1032">
        <v>-5</v>
      </c>
      <c r="E512" s="1032">
        <v>-62.5</v>
      </c>
      <c r="F512" s="1032">
        <v>2.8431418726846801E-2</v>
      </c>
    </row>
    <row r="513" spans="1:6" x14ac:dyDescent="0.3">
      <c r="A513" s="1033" t="s">
        <v>318</v>
      </c>
      <c r="B513" s="1795" t="s">
        <v>921</v>
      </c>
      <c r="C513" s="1034">
        <v>2</v>
      </c>
      <c r="D513" s="1034">
        <v>-1</v>
      </c>
      <c r="E513" s="1034">
        <v>-33.3333333333333</v>
      </c>
      <c r="F513" s="1034">
        <v>1.8954279151231199E-2</v>
      </c>
    </row>
    <row r="514" spans="1:6" x14ac:dyDescent="0.3">
      <c r="A514" s="1035" t="s">
        <v>318</v>
      </c>
      <c r="B514" s="1795" t="s">
        <v>346</v>
      </c>
      <c r="C514" s="1036">
        <v>13223</v>
      </c>
      <c r="D514" s="1036">
        <v>-1555</v>
      </c>
      <c r="E514" s="1036">
        <v>-10.522398159426199</v>
      </c>
      <c r="F514" s="1036">
        <v>125.316216608365</v>
      </c>
    </row>
    <row r="515" spans="1:6" x14ac:dyDescent="0.3">
      <c r="A515" s="1037" t="s">
        <v>318</v>
      </c>
      <c r="B515" s="1795" t="s">
        <v>347</v>
      </c>
      <c r="C515" s="1038">
        <v>2945</v>
      </c>
      <c r="D515" s="1038">
        <v>-474</v>
      </c>
      <c r="E515" s="1038">
        <v>-13.863702837086899</v>
      </c>
      <c r="F515" s="1038">
        <v>27.9101760501879</v>
      </c>
    </row>
    <row r="516" spans="1:6" x14ac:dyDescent="0.3">
      <c r="A516" s="1039" t="s">
        <v>318</v>
      </c>
      <c r="B516" s="1795" t="s">
        <v>348</v>
      </c>
      <c r="C516" s="1040">
        <v>2443</v>
      </c>
      <c r="D516" s="1040">
        <v>-460</v>
      </c>
      <c r="E516" s="1040">
        <v>-15.84567688598</v>
      </c>
      <c r="F516" s="1040">
        <v>23.1526519832289</v>
      </c>
    </row>
    <row r="517" spans="1:6" x14ac:dyDescent="0.3">
      <c r="A517" s="1041" t="s">
        <v>318</v>
      </c>
      <c r="B517" s="1795" t="s">
        <v>349</v>
      </c>
      <c r="C517" s="1042">
        <v>965</v>
      </c>
      <c r="D517" s="1042">
        <v>-372</v>
      </c>
      <c r="E517" s="1042">
        <v>-27.8234854151085</v>
      </c>
      <c r="F517" s="1042">
        <v>9.1454396904690398</v>
      </c>
    </row>
    <row r="518" spans="1:6" x14ac:dyDescent="0.3">
      <c r="A518" s="1043" t="s">
        <v>318</v>
      </c>
      <c r="B518" s="1795" t="s">
        <v>350</v>
      </c>
      <c r="C518" s="1044">
        <v>1478</v>
      </c>
      <c r="D518" s="1044">
        <v>-88</v>
      </c>
      <c r="E518" s="1044">
        <v>-5.6194125159642399</v>
      </c>
      <c r="F518" s="1044">
        <v>14.0072122927598</v>
      </c>
    </row>
    <row r="519" spans="1:6" x14ac:dyDescent="0.3">
      <c r="A519" s="1045" t="s">
        <v>318</v>
      </c>
      <c r="B519" s="1795" t="s">
        <v>351</v>
      </c>
      <c r="C519" s="1046">
        <v>214</v>
      </c>
      <c r="D519" s="1046">
        <v>26</v>
      </c>
      <c r="E519" s="1046">
        <v>13.8297872340426</v>
      </c>
      <c r="F519" s="1046">
        <v>2.0281078691817398</v>
      </c>
    </row>
    <row r="520" spans="1:6" x14ac:dyDescent="0.3">
      <c r="A520" s="1047" t="s">
        <v>318</v>
      </c>
      <c r="B520" s="1795" t="s">
        <v>352</v>
      </c>
      <c r="C520" s="1048">
        <v>29</v>
      </c>
      <c r="D520" s="1048">
        <v>-22</v>
      </c>
      <c r="E520" s="1048">
        <v>-43.137254901960802</v>
      </c>
      <c r="F520" s="1048">
        <v>0.274837047692852</v>
      </c>
    </row>
    <row r="521" spans="1:6" x14ac:dyDescent="0.3">
      <c r="A521" s="1049" t="s">
        <v>318</v>
      </c>
      <c r="B521" s="1795" t="s">
        <v>353</v>
      </c>
      <c r="C521" s="1050">
        <v>38</v>
      </c>
      <c r="D521" s="1050">
        <v>0</v>
      </c>
      <c r="E521" s="1050">
        <v>0</v>
      </c>
      <c r="F521" s="1050">
        <v>0.36013130387339198</v>
      </c>
    </row>
    <row r="522" spans="1:6" x14ac:dyDescent="0.3">
      <c r="A522" s="1051" t="s">
        <v>318</v>
      </c>
      <c r="B522" s="1795" t="s">
        <v>354</v>
      </c>
      <c r="C522" s="1052">
        <v>221</v>
      </c>
      <c r="D522" s="1052">
        <v>-18</v>
      </c>
      <c r="E522" s="1052">
        <v>-7.5313807531380803</v>
      </c>
      <c r="F522" s="1052">
        <v>2.0944478462110401</v>
      </c>
    </row>
    <row r="523" spans="1:6" ht="21.6" x14ac:dyDescent="0.3">
      <c r="A523" s="1053" t="s">
        <v>318</v>
      </c>
      <c r="B523" s="1795" t="s">
        <v>922</v>
      </c>
      <c r="C523" s="1054">
        <v>90</v>
      </c>
      <c r="D523" s="1054">
        <v>-5</v>
      </c>
      <c r="E523" s="1054">
        <v>-5.2631578947368398</v>
      </c>
      <c r="F523" s="1054">
        <v>0.85294256180540295</v>
      </c>
    </row>
    <row r="524" spans="1:6" x14ac:dyDescent="0.3">
      <c r="A524" s="1055" t="s">
        <v>318</v>
      </c>
      <c r="B524" s="1795" t="s">
        <v>355</v>
      </c>
      <c r="C524" s="1056">
        <v>131</v>
      </c>
      <c r="D524" s="1056">
        <v>-13</v>
      </c>
      <c r="E524" s="1056">
        <v>-9.0277777777777803</v>
      </c>
      <c r="F524" s="1056">
        <v>1.24150528440564</v>
      </c>
    </row>
    <row r="525" spans="1:6" x14ac:dyDescent="0.3">
      <c r="A525" s="1057" t="s">
        <v>318</v>
      </c>
      <c r="B525" s="1795" t="s">
        <v>356</v>
      </c>
      <c r="C525" s="1058">
        <v>190</v>
      </c>
      <c r="D525" s="1058">
        <v>-175</v>
      </c>
      <c r="E525" s="1058">
        <v>-47.945205479452</v>
      </c>
      <c r="F525" s="1058">
        <v>1.8006565193669599</v>
      </c>
    </row>
    <row r="526" spans="1:6" x14ac:dyDescent="0.3">
      <c r="A526" s="1059" t="s">
        <v>318</v>
      </c>
      <c r="B526" s="1795" t="s">
        <v>357</v>
      </c>
      <c r="C526" s="1060">
        <v>95</v>
      </c>
      <c r="D526" s="1060">
        <v>-113</v>
      </c>
      <c r="E526" s="1060">
        <v>-54.326923076923102</v>
      </c>
      <c r="F526" s="1060">
        <v>0.90032825968348096</v>
      </c>
    </row>
    <row r="527" spans="1:6" x14ac:dyDescent="0.3">
      <c r="A527" s="1061" t="s">
        <v>318</v>
      </c>
      <c r="B527" s="1795" t="s">
        <v>358</v>
      </c>
      <c r="C527" s="1062">
        <v>74</v>
      </c>
      <c r="D527" s="1062">
        <v>-123</v>
      </c>
      <c r="E527" s="1062">
        <v>-62.4365482233503</v>
      </c>
      <c r="F527" s="1062">
        <v>0.70130832859555303</v>
      </c>
    </row>
    <row r="528" spans="1:6" x14ac:dyDescent="0.3">
      <c r="A528" s="1063" t="s">
        <v>318</v>
      </c>
      <c r="B528" s="1795" t="s">
        <v>359</v>
      </c>
      <c r="C528" s="1064">
        <v>21</v>
      </c>
      <c r="D528" s="1064">
        <v>10</v>
      </c>
      <c r="E528" s="1064">
        <v>90.909090909090907</v>
      </c>
      <c r="F528" s="1064">
        <v>0.19901993108792701</v>
      </c>
    </row>
    <row r="529" spans="1:6" x14ac:dyDescent="0.3">
      <c r="A529" s="1065" t="s">
        <v>318</v>
      </c>
      <c r="B529" s="1795" t="s">
        <v>360</v>
      </c>
      <c r="C529" s="1066">
        <v>95</v>
      </c>
      <c r="D529" s="1066">
        <v>-62</v>
      </c>
      <c r="E529" s="1066">
        <v>-39.490445859872601</v>
      </c>
      <c r="F529" s="1066">
        <v>0.90032825968348096</v>
      </c>
    </row>
    <row r="530" spans="1:6" x14ac:dyDescent="0.3">
      <c r="A530" s="1067" t="s">
        <v>318</v>
      </c>
      <c r="B530" s="1795" t="s">
        <v>361</v>
      </c>
      <c r="C530" s="1068">
        <v>20</v>
      </c>
      <c r="D530" s="1068">
        <v>-11</v>
      </c>
      <c r="E530" s="1068">
        <v>-35.4838709677419</v>
      </c>
      <c r="F530" s="1068">
        <v>0.18954279151231199</v>
      </c>
    </row>
    <row r="531" spans="1:6" x14ac:dyDescent="0.3">
      <c r="A531" s="1069" t="s">
        <v>318</v>
      </c>
      <c r="B531" s="1795" t="s">
        <v>362</v>
      </c>
      <c r="C531" s="1070">
        <v>75</v>
      </c>
      <c r="D531" s="1070">
        <v>-51</v>
      </c>
      <c r="E531" s="1070">
        <v>-40.476190476190503</v>
      </c>
      <c r="F531" s="1070">
        <v>0.71078546817116905</v>
      </c>
    </row>
    <row r="532" spans="1:6" x14ac:dyDescent="0.3">
      <c r="A532" s="1071" t="s">
        <v>318</v>
      </c>
      <c r="B532" s="1795" t="s">
        <v>363</v>
      </c>
      <c r="C532" s="1072">
        <v>726</v>
      </c>
      <c r="D532" s="1072">
        <v>8</v>
      </c>
      <c r="E532" s="1072">
        <v>1.1142061281336999</v>
      </c>
      <c r="F532" s="1072">
        <v>6.8804033318969102</v>
      </c>
    </row>
    <row r="533" spans="1:6" x14ac:dyDescent="0.3">
      <c r="A533" s="1073" t="s">
        <v>318</v>
      </c>
      <c r="B533" s="1795" t="s">
        <v>364</v>
      </c>
      <c r="C533" s="1074">
        <v>408</v>
      </c>
      <c r="D533" s="1074">
        <v>14</v>
      </c>
      <c r="E533" s="1074">
        <v>3.5532994923857899</v>
      </c>
      <c r="F533" s="1074">
        <v>3.86667294685116</v>
      </c>
    </row>
    <row r="534" spans="1:6" x14ac:dyDescent="0.3">
      <c r="A534" s="1075" t="s">
        <v>318</v>
      </c>
      <c r="B534" s="1795" t="s">
        <v>365</v>
      </c>
      <c r="C534" s="1076">
        <v>318</v>
      </c>
      <c r="D534" s="1076">
        <v>-6</v>
      </c>
      <c r="E534" s="1076">
        <v>-1.8518518518518501</v>
      </c>
      <c r="F534" s="1076">
        <v>3.01373038504576</v>
      </c>
    </row>
    <row r="535" spans="1:6" x14ac:dyDescent="0.3">
      <c r="A535" s="1077" t="s">
        <v>318</v>
      </c>
      <c r="B535" s="1795" t="s">
        <v>923</v>
      </c>
      <c r="C535" s="1078">
        <v>669</v>
      </c>
      <c r="D535" s="1078">
        <v>-15</v>
      </c>
      <c r="E535" s="1078">
        <v>-2.1929824561403501</v>
      </c>
      <c r="F535" s="1078">
        <v>6.3402063760868304</v>
      </c>
    </row>
    <row r="536" spans="1:6" x14ac:dyDescent="0.3">
      <c r="A536" s="1079" t="s">
        <v>318</v>
      </c>
      <c r="B536" s="1795" t="s">
        <v>366</v>
      </c>
      <c r="C536" s="1080">
        <v>3245</v>
      </c>
      <c r="D536" s="1080">
        <v>-561</v>
      </c>
      <c r="E536" s="1080">
        <v>-14.739884393063599</v>
      </c>
      <c r="F536" s="1080">
        <v>30.753317922872601</v>
      </c>
    </row>
    <row r="537" spans="1:6" x14ac:dyDescent="0.3">
      <c r="A537" s="1081" t="s">
        <v>318</v>
      </c>
      <c r="B537" s="1795" t="s">
        <v>367</v>
      </c>
      <c r="C537" s="1082">
        <v>303</v>
      </c>
      <c r="D537" s="1082">
        <v>13</v>
      </c>
      <c r="E537" s="1082">
        <v>4.4827586206896504</v>
      </c>
      <c r="F537" s="1082">
        <v>2.87157329141152</v>
      </c>
    </row>
    <row r="538" spans="1:6" x14ac:dyDescent="0.3">
      <c r="A538" s="1083" t="s">
        <v>318</v>
      </c>
      <c r="B538" s="1795" t="s">
        <v>368</v>
      </c>
      <c r="C538" s="1084">
        <v>96</v>
      </c>
      <c r="D538" s="1084">
        <v>15</v>
      </c>
      <c r="E538" s="1084">
        <v>18.518518518518501</v>
      </c>
      <c r="F538" s="1084">
        <v>0.90980539925909598</v>
      </c>
    </row>
    <row r="539" spans="1:6" x14ac:dyDescent="0.3">
      <c r="A539" s="1085" t="s">
        <v>318</v>
      </c>
      <c r="B539" s="1795" t="s">
        <v>369</v>
      </c>
      <c r="C539" s="1086">
        <v>207</v>
      </c>
      <c r="D539" s="1086">
        <v>-2</v>
      </c>
      <c r="E539" s="1086">
        <v>-0.95693779904306198</v>
      </c>
      <c r="F539" s="1086">
        <v>1.96176789215243</v>
      </c>
    </row>
    <row r="540" spans="1:6" x14ac:dyDescent="0.3">
      <c r="A540" s="1087" t="s">
        <v>370</v>
      </c>
      <c r="B540" s="1795" t="s">
        <v>371</v>
      </c>
      <c r="C540" s="1088">
        <v>998</v>
      </c>
      <c r="D540" s="1088">
        <v>6</v>
      </c>
      <c r="E540" s="1088">
        <v>0.60483870967741904</v>
      </c>
      <c r="F540" s="1088">
        <v>9.4581852964643502</v>
      </c>
    </row>
    <row r="541" spans="1:6" x14ac:dyDescent="0.3">
      <c r="A541" s="1089" t="s">
        <v>370</v>
      </c>
      <c r="B541" s="1795" t="s">
        <v>372</v>
      </c>
      <c r="C541" s="1090">
        <v>869</v>
      </c>
      <c r="D541" s="1090">
        <v>0</v>
      </c>
      <c r="E541" s="1090">
        <v>0</v>
      </c>
      <c r="F541" s="1090">
        <v>8.2356342912099407</v>
      </c>
    </row>
    <row r="542" spans="1:6" x14ac:dyDescent="0.3">
      <c r="A542" s="1091" t="s">
        <v>370</v>
      </c>
      <c r="B542" s="1795" t="s">
        <v>373</v>
      </c>
      <c r="C542" s="1092">
        <v>389</v>
      </c>
      <c r="D542" s="1092">
        <v>3</v>
      </c>
      <c r="E542" s="1092">
        <v>0.77720207253885998</v>
      </c>
      <c r="F542" s="1092">
        <v>3.6866072949144599</v>
      </c>
    </row>
    <row r="543" spans="1:6" x14ac:dyDescent="0.3">
      <c r="A543" s="1093" t="s">
        <v>370</v>
      </c>
      <c r="B543" s="1795" t="s">
        <v>374</v>
      </c>
      <c r="C543" s="1094">
        <v>480</v>
      </c>
      <c r="D543" s="1094">
        <v>-3</v>
      </c>
      <c r="E543" s="1094">
        <v>-0.62111801242235998</v>
      </c>
      <c r="F543" s="1094">
        <v>4.5490269962954804</v>
      </c>
    </row>
    <row r="544" spans="1:6" x14ac:dyDescent="0.3">
      <c r="A544" s="1095" t="s">
        <v>318</v>
      </c>
      <c r="B544" s="1795" t="s">
        <v>375</v>
      </c>
      <c r="C544" s="1096">
        <v>129</v>
      </c>
      <c r="D544" s="1096">
        <v>6</v>
      </c>
      <c r="E544" s="1096">
        <v>4.8780487804878003</v>
      </c>
      <c r="F544" s="1096">
        <v>1.22255100525441</v>
      </c>
    </row>
    <row r="545" spans="1:6" x14ac:dyDescent="0.3">
      <c r="A545" s="1097" t="s">
        <v>318</v>
      </c>
      <c r="B545" s="1795" t="s">
        <v>376</v>
      </c>
      <c r="C545" s="1098">
        <v>53</v>
      </c>
      <c r="D545" s="1098">
        <v>-2</v>
      </c>
      <c r="E545" s="1098">
        <v>-3.6363636363636398</v>
      </c>
      <c r="F545" s="1098">
        <v>0.50228839750762599</v>
      </c>
    </row>
    <row r="546" spans="1:6" x14ac:dyDescent="0.3">
      <c r="A546" s="1099" t="s">
        <v>318</v>
      </c>
      <c r="B546" s="1795" t="s">
        <v>377</v>
      </c>
      <c r="C546" s="1100">
        <v>7</v>
      </c>
      <c r="D546" s="1100">
        <v>-5</v>
      </c>
      <c r="E546" s="1100">
        <v>-41.6666666666667</v>
      </c>
      <c r="F546" s="1100">
        <v>6.6339977029309105E-2</v>
      </c>
    </row>
    <row r="547" spans="1:6" x14ac:dyDescent="0.3">
      <c r="A547" s="1101" t="s">
        <v>318</v>
      </c>
      <c r="B547" s="1795" t="s">
        <v>378</v>
      </c>
      <c r="C547" s="1102">
        <v>46</v>
      </c>
      <c r="D547" s="1102">
        <v>3</v>
      </c>
      <c r="E547" s="1102">
        <v>6.9767441860465098</v>
      </c>
      <c r="F547" s="1102">
        <v>0.435948420478317</v>
      </c>
    </row>
    <row r="548" spans="1:6" x14ac:dyDescent="0.3">
      <c r="A548" s="1103" t="s">
        <v>318</v>
      </c>
      <c r="B548" s="1795" t="s">
        <v>379</v>
      </c>
      <c r="C548" s="1104">
        <v>1388</v>
      </c>
      <c r="D548" s="1104">
        <v>-179</v>
      </c>
      <c r="E548" s="1104">
        <v>-11.423101467772801</v>
      </c>
      <c r="F548" s="1104">
        <v>13.1542697309544</v>
      </c>
    </row>
    <row r="549" spans="1:6" x14ac:dyDescent="0.3">
      <c r="A549" s="1105" t="s">
        <v>318</v>
      </c>
      <c r="B549" s="1795" t="s">
        <v>380</v>
      </c>
      <c r="C549" s="1106">
        <v>139</v>
      </c>
      <c r="D549" s="1106">
        <v>-4</v>
      </c>
      <c r="E549" s="1106">
        <v>-2.7972027972028002</v>
      </c>
      <c r="F549" s="1106">
        <v>1.31732240101057</v>
      </c>
    </row>
    <row r="550" spans="1:6" x14ac:dyDescent="0.3">
      <c r="A550" s="1107" t="s">
        <v>318</v>
      </c>
      <c r="B550" s="1795" t="s">
        <v>381</v>
      </c>
      <c r="C550" s="1108">
        <v>1249</v>
      </c>
      <c r="D550" s="1108">
        <v>-175</v>
      </c>
      <c r="E550" s="1108">
        <v>-12.2893258426966</v>
      </c>
      <c r="F550" s="1108">
        <v>11.8369473299439</v>
      </c>
    </row>
    <row r="551" spans="1:6" x14ac:dyDescent="0.3">
      <c r="A551" s="1109" t="s">
        <v>318</v>
      </c>
      <c r="B551" s="1795" t="s">
        <v>382</v>
      </c>
      <c r="C551" s="1110">
        <v>2706</v>
      </c>
      <c r="D551" s="1110">
        <v>-176</v>
      </c>
      <c r="E551" s="1110">
        <v>-6.1068702290076304</v>
      </c>
      <c r="F551" s="1110">
        <v>25.6451396916158</v>
      </c>
    </row>
    <row r="552" spans="1:6" x14ac:dyDescent="0.3">
      <c r="A552" s="1111" t="s">
        <v>383</v>
      </c>
      <c r="B552" s="1795" t="s">
        <v>384</v>
      </c>
      <c r="C552" s="1112">
        <v>365</v>
      </c>
      <c r="D552" s="1112">
        <v>-83</v>
      </c>
      <c r="E552" s="1112">
        <v>-18.526785714285701</v>
      </c>
      <c r="F552" s="1112">
        <v>3.45915594509969</v>
      </c>
    </row>
    <row r="553" spans="1:6" x14ac:dyDescent="0.3">
      <c r="A553" s="1113" t="s">
        <v>383</v>
      </c>
      <c r="B553" s="1795" t="s">
        <v>385</v>
      </c>
      <c r="C553" s="1114">
        <v>0</v>
      </c>
      <c r="D553" s="1114">
        <v>0</v>
      </c>
      <c r="E553" s="1114" t="s">
        <v>38</v>
      </c>
      <c r="F553" s="1114">
        <v>0</v>
      </c>
    </row>
    <row r="554" spans="1:6" x14ac:dyDescent="0.3">
      <c r="A554" s="1115" t="s">
        <v>383</v>
      </c>
      <c r="B554" s="1795" t="s">
        <v>386</v>
      </c>
      <c r="C554" s="1116">
        <v>0</v>
      </c>
      <c r="D554" s="1116">
        <v>0</v>
      </c>
      <c r="E554" s="1116" t="s">
        <v>38</v>
      </c>
      <c r="F554" s="1116">
        <v>0</v>
      </c>
    </row>
    <row r="555" spans="1:6" x14ac:dyDescent="0.3">
      <c r="A555" s="1117" t="s">
        <v>383</v>
      </c>
      <c r="B555" s="1795" t="s">
        <v>387</v>
      </c>
      <c r="C555" s="1118">
        <v>0</v>
      </c>
      <c r="D555" s="1118">
        <v>0</v>
      </c>
      <c r="E555" s="1118" t="s">
        <v>38</v>
      </c>
      <c r="F555" s="1118">
        <v>0</v>
      </c>
    </row>
    <row r="556" spans="1:6" x14ac:dyDescent="0.3">
      <c r="A556" s="1119" t="s">
        <v>383</v>
      </c>
      <c r="B556" s="1795" t="s">
        <v>388</v>
      </c>
      <c r="C556" s="1120">
        <v>28</v>
      </c>
      <c r="D556" s="1120">
        <v>-4</v>
      </c>
      <c r="E556" s="1120">
        <v>-12.5</v>
      </c>
      <c r="F556" s="1120">
        <v>0.26535990811723598</v>
      </c>
    </row>
    <row r="557" spans="1:6" x14ac:dyDescent="0.3">
      <c r="A557" s="1121" t="s">
        <v>383</v>
      </c>
      <c r="B557" s="1795" t="s">
        <v>389</v>
      </c>
      <c r="C557" s="1122">
        <v>2</v>
      </c>
      <c r="D557" s="1122">
        <v>1</v>
      </c>
      <c r="E557" s="1122">
        <v>100</v>
      </c>
      <c r="F557" s="1122">
        <v>1.8954279151231199E-2</v>
      </c>
    </row>
    <row r="558" spans="1:6" x14ac:dyDescent="0.3">
      <c r="A558" s="1123" t="s">
        <v>383</v>
      </c>
      <c r="B558" s="1795" t="s">
        <v>390</v>
      </c>
      <c r="C558" s="1124">
        <v>26</v>
      </c>
      <c r="D558" s="1124">
        <v>-5</v>
      </c>
      <c r="E558" s="1124">
        <v>-16.129032258064498</v>
      </c>
      <c r="F558" s="1124">
        <v>0.24640562896600501</v>
      </c>
    </row>
    <row r="559" spans="1:6" x14ac:dyDescent="0.3">
      <c r="A559" s="1125" t="s">
        <v>383</v>
      </c>
      <c r="B559" s="1795" t="s">
        <v>391</v>
      </c>
      <c r="C559" s="1126">
        <v>0</v>
      </c>
      <c r="D559" s="1126">
        <v>-1</v>
      </c>
      <c r="E559" s="1126">
        <v>-100</v>
      </c>
      <c r="F559" s="1126">
        <v>0</v>
      </c>
    </row>
    <row r="560" spans="1:6" x14ac:dyDescent="0.3">
      <c r="A560" s="1127" t="s">
        <v>383</v>
      </c>
      <c r="B560" s="1795" t="s">
        <v>392</v>
      </c>
      <c r="C560" s="1128">
        <v>0</v>
      </c>
      <c r="D560" s="1128">
        <v>0</v>
      </c>
      <c r="E560" s="1128" t="s">
        <v>38</v>
      </c>
      <c r="F560" s="1128">
        <v>0</v>
      </c>
    </row>
    <row r="561" spans="1:6" x14ac:dyDescent="0.3">
      <c r="A561" s="1129" t="s">
        <v>383</v>
      </c>
      <c r="B561" s="1795" t="s">
        <v>393</v>
      </c>
      <c r="C561" s="1130">
        <v>0</v>
      </c>
      <c r="D561" s="1130">
        <v>-1</v>
      </c>
      <c r="E561" s="1130">
        <v>-100</v>
      </c>
      <c r="F561" s="1130">
        <v>0</v>
      </c>
    </row>
    <row r="562" spans="1:6" x14ac:dyDescent="0.3">
      <c r="A562" s="1131" t="s">
        <v>383</v>
      </c>
      <c r="B562" s="1795" t="s">
        <v>394</v>
      </c>
      <c r="C562" s="1132">
        <v>0</v>
      </c>
      <c r="D562" s="1132">
        <v>0</v>
      </c>
      <c r="E562" s="1132" t="s">
        <v>38</v>
      </c>
      <c r="F562" s="1132">
        <v>0</v>
      </c>
    </row>
    <row r="563" spans="1:6" x14ac:dyDescent="0.3">
      <c r="A563" s="1133" t="s">
        <v>383</v>
      </c>
      <c r="B563" s="1795" t="s">
        <v>395</v>
      </c>
      <c r="C563" s="1134">
        <v>0</v>
      </c>
      <c r="D563" s="1134">
        <v>0</v>
      </c>
      <c r="E563" s="1134" t="s">
        <v>38</v>
      </c>
      <c r="F563" s="1134">
        <v>0</v>
      </c>
    </row>
    <row r="564" spans="1:6" x14ac:dyDescent="0.3">
      <c r="A564" s="1135" t="s">
        <v>383</v>
      </c>
      <c r="B564" s="1795" t="s">
        <v>396</v>
      </c>
      <c r="C564" s="1136">
        <v>0</v>
      </c>
      <c r="D564" s="1136">
        <v>0</v>
      </c>
      <c r="E564" s="1136" t="s">
        <v>38</v>
      </c>
      <c r="F564" s="1136">
        <v>0</v>
      </c>
    </row>
    <row r="565" spans="1:6" x14ac:dyDescent="0.3">
      <c r="A565" s="1137" t="s">
        <v>383</v>
      </c>
      <c r="B565" s="1795" t="s">
        <v>397</v>
      </c>
      <c r="C565" s="1138">
        <v>2</v>
      </c>
      <c r="D565" s="1138">
        <v>2</v>
      </c>
      <c r="E565" s="1138" t="s">
        <v>38</v>
      </c>
      <c r="F565" s="1138">
        <v>1.8954279151231199E-2</v>
      </c>
    </row>
    <row r="566" spans="1:6" x14ac:dyDescent="0.3">
      <c r="A566" s="1139" t="s">
        <v>383</v>
      </c>
      <c r="B566" s="1795" t="s">
        <v>398</v>
      </c>
      <c r="C566" s="1140">
        <v>0</v>
      </c>
      <c r="D566" s="1140">
        <v>0</v>
      </c>
      <c r="E566" s="1140" t="s">
        <v>38</v>
      </c>
      <c r="F566" s="1140">
        <v>0</v>
      </c>
    </row>
    <row r="567" spans="1:6" x14ac:dyDescent="0.3">
      <c r="A567" s="1141" t="s">
        <v>383</v>
      </c>
      <c r="B567" s="1795" t="s">
        <v>399</v>
      </c>
      <c r="C567" s="1142">
        <v>2</v>
      </c>
      <c r="D567" s="1142">
        <v>2</v>
      </c>
      <c r="E567" s="1142" t="s">
        <v>38</v>
      </c>
      <c r="F567" s="1142">
        <v>1.8954279151231199E-2</v>
      </c>
    </row>
    <row r="568" spans="1:6" x14ac:dyDescent="0.3">
      <c r="A568" s="1143" t="s">
        <v>383</v>
      </c>
      <c r="B568" s="1795" t="s">
        <v>400</v>
      </c>
      <c r="C568" s="1144">
        <v>35</v>
      </c>
      <c r="D568" s="1144">
        <v>1</v>
      </c>
      <c r="E568" s="1144">
        <v>2.9411764705882399</v>
      </c>
      <c r="F568" s="1144">
        <v>0.33169988514654503</v>
      </c>
    </row>
    <row r="569" spans="1:6" x14ac:dyDescent="0.3">
      <c r="A569" s="1145" t="s">
        <v>383</v>
      </c>
      <c r="B569" s="1795" t="s">
        <v>401</v>
      </c>
      <c r="C569" s="1146">
        <v>8</v>
      </c>
      <c r="D569" s="1146">
        <v>1</v>
      </c>
      <c r="E569" s="1146">
        <v>14.285714285714301</v>
      </c>
      <c r="F569" s="1146">
        <v>7.5817116604924698E-2</v>
      </c>
    </row>
    <row r="570" spans="1:6" x14ac:dyDescent="0.3">
      <c r="A570" s="1147" t="s">
        <v>383</v>
      </c>
      <c r="B570" s="1795" t="s">
        <v>924</v>
      </c>
      <c r="C570" s="1148">
        <v>27</v>
      </c>
      <c r="D570" s="1148">
        <v>0</v>
      </c>
      <c r="E570" s="1148">
        <v>0</v>
      </c>
      <c r="F570" s="1148">
        <v>0.25588276854162101</v>
      </c>
    </row>
    <row r="571" spans="1:6" x14ac:dyDescent="0.3">
      <c r="A571" s="1149" t="s">
        <v>383</v>
      </c>
      <c r="B571" s="1795" t="s">
        <v>402</v>
      </c>
      <c r="C571" s="1150">
        <v>265</v>
      </c>
      <c r="D571" s="1150">
        <v>-64</v>
      </c>
      <c r="E571" s="1150">
        <v>-19.452887537993899</v>
      </c>
      <c r="F571" s="1150">
        <v>2.51144198753813</v>
      </c>
    </row>
    <row r="572" spans="1:6" x14ac:dyDescent="0.3">
      <c r="A572" s="1151" t="s">
        <v>383</v>
      </c>
      <c r="B572" s="1795" t="s">
        <v>403</v>
      </c>
      <c r="C572" s="1152">
        <v>63</v>
      </c>
      <c r="D572" s="1152">
        <v>-13</v>
      </c>
      <c r="E572" s="1152">
        <v>-17.105263157894701</v>
      </c>
      <c r="F572" s="1152">
        <v>0.597059793263782</v>
      </c>
    </row>
    <row r="573" spans="1:6" x14ac:dyDescent="0.3">
      <c r="A573" s="1153" t="s">
        <v>383</v>
      </c>
      <c r="B573" s="1795" t="s">
        <v>925</v>
      </c>
      <c r="C573" s="1154">
        <v>52</v>
      </c>
      <c r="D573" s="1154">
        <v>-13</v>
      </c>
      <c r="E573" s="1154">
        <v>-20</v>
      </c>
      <c r="F573" s="1154">
        <v>0.49281125793201003</v>
      </c>
    </row>
    <row r="574" spans="1:6" ht="21.6" x14ac:dyDescent="0.3">
      <c r="A574" s="1155" t="s">
        <v>383</v>
      </c>
      <c r="B574" s="1795" t="s">
        <v>926</v>
      </c>
      <c r="C574" s="1156">
        <v>4</v>
      </c>
      <c r="D574" s="1156">
        <v>-1</v>
      </c>
      <c r="E574" s="1156">
        <v>-20</v>
      </c>
      <c r="F574" s="1156">
        <v>3.79085583024623E-2</v>
      </c>
    </row>
    <row r="575" spans="1:6" ht="21.6" x14ac:dyDescent="0.3">
      <c r="A575" s="1157" t="s">
        <v>383</v>
      </c>
      <c r="B575" s="1795" t="s">
        <v>927</v>
      </c>
      <c r="C575" s="1158">
        <v>48</v>
      </c>
      <c r="D575" s="1158">
        <v>-12</v>
      </c>
      <c r="E575" s="1158">
        <v>-20</v>
      </c>
      <c r="F575" s="1158">
        <v>0.45490269962954799</v>
      </c>
    </row>
    <row r="576" spans="1:6" x14ac:dyDescent="0.3">
      <c r="A576" s="1159" t="s">
        <v>383</v>
      </c>
      <c r="B576" s="1795" t="s">
        <v>928</v>
      </c>
      <c r="C576" s="1160">
        <v>11</v>
      </c>
      <c r="D576" s="1160">
        <v>0</v>
      </c>
      <c r="E576" s="1160">
        <v>0</v>
      </c>
      <c r="F576" s="1160">
        <v>0.104248535331771</v>
      </c>
    </row>
    <row r="577" spans="1:6" ht="21.6" x14ac:dyDescent="0.3">
      <c r="A577" s="1161" t="s">
        <v>383</v>
      </c>
      <c r="B577" s="1795" t="s">
        <v>929</v>
      </c>
      <c r="C577" s="1162">
        <v>0</v>
      </c>
      <c r="D577" s="1162">
        <v>-1</v>
      </c>
      <c r="E577" s="1162">
        <v>-100</v>
      </c>
      <c r="F577" s="1162">
        <v>0</v>
      </c>
    </row>
    <row r="578" spans="1:6" ht="21.6" x14ac:dyDescent="0.3">
      <c r="A578" s="1163" t="s">
        <v>383</v>
      </c>
      <c r="B578" s="1795" t="s">
        <v>930</v>
      </c>
      <c r="C578" s="1164">
        <v>11</v>
      </c>
      <c r="D578" s="1164">
        <v>1</v>
      </c>
      <c r="E578" s="1164">
        <v>10</v>
      </c>
      <c r="F578" s="1164">
        <v>0.104248535331771</v>
      </c>
    </row>
    <row r="579" spans="1:6" x14ac:dyDescent="0.3">
      <c r="A579" s="1165" t="s">
        <v>383</v>
      </c>
      <c r="B579" s="1795" t="s">
        <v>404</v>
      </c>
      <c r="C579" s="1166">
        <v>202</v>
      </c>
      <c r="D579" s="1166">
        <v>-51</v>
      </c>
      <c r="E579" s="1166">
        <v>-20.1581027667984</v>
      </c>
      <c r="F579" s="1166">
        <v>1.91438219427435</v>
      </c>
    </row>
    <row r="580" spans="1:6" x14ac:dyDescent="0.3">
      <c r="A580" s="1167" t="s">
        <v>383</v>
      </c>
      <c r="B580" s="1795" t="s">
        <v>931</v>
      </c>
      <c r="C580" s="1168">
        <v>169</v>
      </c>
      <c r="D580" s="1168">
        <v>-34</v>
      </c>
      <c r="E580" s="1168">
        <v>-16.748768472906399</v>
      </c>
      <c r="F580" s="1168">
        <v>1.60163658827903</v>
      </c>
    </row>
    <row r="581" spans="1:6" ht="21.6" x14ac:dyDescent="0.3">
      <c r="A581" s="1169" t="s">
        <v>383</v>
      </c>
      <c r="B581" s="1795" t="s">
        <v>932</v>
      </c>
      <c r="C581" s="1170">
        <v>23</v>
      </c>
      <c r="D581" s="1170">
        <v>3</v>
      </c>
      <c r="E581" s="1170">
        <v>15</v>
      </c>
      <c r="F581" s="1170">
        <v>0.217974210239158</v>
      </c>
    </row>
    <row r="582" spans="1:6" ht="21.6" x14ac:dyDescent="0.3">
      <c r="A582" s="1171" t="s">
        <v>383</v>
      </c>
      <c r="B582" s="1795" t="s">
        <v>933</v>
      </c>
      <c r="C582" s="1172">
        <v>146</v>
      </c>
      <c r="D582" s="1172">
        <v>-37</v>
      </c>
      <c r="E582" s="1172">
        <v>-20.218579234972701</v>
      </c>
      <c r="F582" s="1172">
        <v>1.38366237803988</v>
      </c>
    </row>
    <row r="583" spans="1:6" x14ac:dyDescent="0.3">
      <c r="A583" s="1173" t="s">
        <v>383</v>
      </c>
      <c r="B583" s="1795" t="s">
        <v>934</v>
      </c>
      <c r="C583" s="1174">
        <v>33</v>
      </c>
      <c r="D583" s="1174">
        <v>-17</v>
      </c>
      <c r="E583" s="1174">
        <v>-34</v>
      </c>
      <c r="F583" s="1174">
        <v>0.31274560599531398</v>
      </c>
    </row>
    <row r="584" spans="1:6" ht="21.6" x14ac:dyDescent="0.3">
      <c r="A584" s="1175" t="s">
        <v>383</v>
      </c>
      <c r="B584" s="1795" t="s">
        <v>935</v>
      </c>
      <c r="C584" s="1176">
        <v>6</v>
      </c>
      <c r="D584" s="1176">
        <v>-1</v>
      </c>
      <c r="E584" s="1176">
        <v>-14.285714285714301</v>
      </c>
      <c r="F584" s="1176">
        <v>5.6862837453693499E-2</v>
      </c>
    </row>
    <row r="585" spans="1:6" ht="21.6" x14ac:dyDescent="0.3">
      <c r="A585" s="1177" t="s">
        <v>383</v>
      </c>
      <c r="B585" s="1795" t="s">
        <v>936</v>
      </c>
      <c r="C585" s="1178">
        <v>27</v>
      </c>
      <c r="D585" s="1178">
        <v>-16</v>
      </c>
      <c r="E585" s="1178">
        <v>-37.209302325581397</v>
      </c>
      <c r="F585" s="1178">
        <v>0.25588276854162101</v>
      </c>
    </row>
    <row r="586" spans="1:6" x14ac:dyDescent="0.3">
      <c r="A586" s="1179" t="s">
        <v>383</v>
      </c>
      <c r="B586" s="1795" t="s">
        <v>405</v>
      </c>
      <c r="C586" s="1180">
        <v>35</v>
      </c>
      <c r="D586" s="1180">
        <v>-17</v>
      </c>
      <c r="E586" s="1180">
        <v>-32.692307692307701</v>
      </c>
      <c r="F586" s="1180">
        <v>0.33169988514654503</v>
      </c>
    </row>
    <row r="587" spans="1:6" x14ac:dyDescent="0.3">
      <c r="A587" s="1181" t="s">
        <v>383</v>
      </c>
      <c r="B587" s="1795" t="s">
        <v>406</v>
      </c>
      <c r="C587" s="1182">
        <v>2</v>
      </c>
      <c r="D587" s="1182">
        <v>-5</v>
      </c>
      <c r="E587" s="1182">
        <v>-71.428571428571402</v>
      </c>
      <c r="F587" s="1182">
        <v>1.8954279151231199E-2</v>
      </c>
    </row>
    <row r="588" spans="1:6" x14ac:dyDescent="0.3">
      <c r="A588" s="1183" t="s">
        <v>383</v>
      </c>
      <c r="B588" s="1795" t="s">
        <v>407</v>
      </c>
      <c r="C588" s="1184">
        <v>33</v>
      </c>
      <c r="D588" s="1184">
        <v>-12</v>
      </c>
      <c r="E588" s="1184">
        <v>-26.6666666666667</v>
      </c>
      <c r="F588" s="1184">
        <v>0.31274560599531398</v>
      </c>
    </row>
    <row r="589" spans="1:6" x14ac:dyDescent="0.3">
      <c r="A589" s="1185" t="s">
        <v>408</v>
      </c>
      <c r="B589" s="1795" t="s">
        <v>409</v>
      </c>
      <c r="C589" s="1186">
        <v>987</v>
      </c>
      <c r="D589" s="1186">
        <v>-187</v>
      </c>
      <c r="E589" s="1186">
        <v>-15.9284497444634</v>
      </c>
      <c r="F589" s="1186">
        <v>9.3539367611325801</v>
      </c>
    </row>
    <row r="590" spans="1:6" x14ac:dyDescent="0.3">
      <c r="A590" s="1187" t="s">
        <v>410</v>
      </c>
      <c r="B590" s="19" t="s">
        <v>411</v>
      </c>
      <c r="C590" s="1188">
        <v>18663</v>
      </c>
      <c r="D590" s="1188">
        <v>-1000</v>
      </c>
      <c r="E590" s="1188">
        <v>-5.0856939429385104</v>
      </c>
      <c r="F590" s="1188">
        <v>176.87185589971401</v>
      </c>
    </row>
    <row r="591" spans="1:6" x14ac:dyDescent="0.3">
      <c r="A591" s="1189" t="s">
        <v>412</v>
      </c>
      <c r="B591" s="1795" t="s">
        <v>413</v>
      </c>
      <c r="C591" s="1190">
        <v>17618</v>
      </c>
      <c r="D591" s="1190">
        <v>-984</v>
      </c>
      <c r="E591" s="1190">
        <v>-5.2897537899150597</v>
      </c>
      <c r="F591" s="1190">
        <v>166.968245043195</v>
      </c>
    </row>
    <row r="592" spans="1:6" x14ac:dyDescent="0.3">
      <c r="A592" s="1191" t="s">
        <v>412</v>
      </c>
      <c r="B592" s="1795" t="s">
        <v>414</v>
      </c>
      <c r="C592" s="1192">
        <v>3778</v>
      </c>
      <c r="D592" s="1192">
        <v>25</v>
      </c>
      <c r="E592" s="1192">
        <v>0.66613375965893995</v>
      </c>
      <c r="F592" s="1192">
        <v>35.804633316675698</v>
      </c>
    </row>
    <row r="593" spans="1:6" x14ac:dyDescent="0.3">
      <c r="A593" s="1193" t="s">
        <v>412</v>
      </c>
      <c r="B593" s="1795" t="s">
        <v>415</v>
      </c>
      <c r="C593" s="1194">
        <v>88</v>
      </c>
      <c r="D593" s="1194">
        <v>-15</v>
      </c>
      <c r="E593" s="1194">
        <v>-14.5631067961165</v>
      </c>
      <c r="F593" s="1194">
        <v>0.83398828265417102</v>
      </c>
    </row>
    <row r="594" spans="1:6" x14ac:dyDescent="0.3">
      <c r="A594" s="1195" t="s">
        <v>412</v>
      </c>
      <c r="B594" s="1795" t="s">
        <v>416</v>
      </c>
      <c r="C594" s="1196">
        <v>50</v>
      </c>
      <c r="D594" s="1196">
        <v>6</v>
      </c>
      <c r="E594" s="1196">
        <v>13.636363636363599</v>
      </c>
      <c r="F594" s="1196">
        <v>0.47385697878077898</v>
      </c>
    </row>
    <row r="595" spans="1:6" x14ac:dyDescent="0.3">
      <c r="A595" s="1197" t="s">
        <v>412</v>
      </c>
      <c r="B595" s="1795" t="s">
        <v>417</v>
      </c>
      <c r="C595" s="1198">
        <v>38</v>
      </c>
      <c r="D595" s="1198">
        <v>-21</v>
      </c>
      <c r="E595" s="1198">
        <v>-35.593220338983102</v>
      </c>
      <c r="F595" s="1198">
        <v>0.36013130387339198</v>
      </c>
    </row>
    <row r="596" spans="1:6" x14ac:dyDescent="0.3">
      <c r="A596" s="1199" t="s">
        <v>412</v>
      </c>
      <c r="B596" s="1795" t="s">
        <v>418</v>
      </c>
      <c r="C596" s="1200">
        <v>230</v>
      </c>
      <c r="D596" s="1200">
        <v>-74</v>
      </c>
      <c r="E596" s="1200">
        <v>-24.342105263157901</v>
      </c>
      <c r="F596" s="1200">
        <v>2.1797421023915802</v>
      </c>
    </row>
    <row r="597" spans="1:6" x14ac:dyDescent="0.3">
      <c r="A597" s="1201" t="s">
        <v>412</v>
      </c>
      <c r="B597" s="1795" t="s">
        <v>419</v>
      </c>
      <c r="C597" s="1202">
        <v>91</v>
      </c>
      <c r="D597" s="1202">
        <v>9</v>
      </c>
      <c r="E597" s="1202">
        <v>10.975609756097599</v>
      </c>
      <c r="F597" s="1202">
        <v>0.86241970138101798</v>
      </c>
    </row>
    <row r="598" spans="1:6" x14ac:dyDescent="0.3">
      <c r="A598" s="1203" t="s">
        <v>412</v>
      </c>
      <c r="B598" s="1795" t="s">
        <v>420</v>
      </c>
      <c r="C598" s="1204">
        <v>139</v>
      </c>
      <c r="D598" s="1204">
        <v>-83</v>
      </c>
      <c r="E598" s="1204">
        <v>-37.387387387387399</v>
      </c>
      <c r="F598" s="1204">
        <v>1.31732240101057</v>
      </c>
    </row>
    <row r="599" spans="1:6" x14ac:dyDescent="0.3">
      <c r="A599" s="1205" t="s">
        <v>412</v>
      </c>
      <c r="B599" s="1795" t="s">
        <v>421</v>
      </c>
      <c r="C599" s="1206">
        <v>1250</v>
      </c>
      <c r="D599" s="1206">
        <v>317</v>
      </c>
      <c r="E599" s="1206">
        <v>33.976420150053599</v>
      </c>
      <c r="F599" s="1206">
        <v>11.8464244695195</v>
      </c>
    </row>
    <row r="600" spans="1:6" x14ac:dyDescent="0.3">
      <c r="A600" s="1207" t="s">
        <v>412</v>
      </c>
      <c r="B600" s="1795" t="s">
        <v>422</v>
      </c>
      <c r="C600" s="1208">
        <v>781</v>
      </c>
      <c r="D600" s="1208">
        <v>127</v>
      </c>
      <c r="E600" s="1208">
        <v>19.4189602446483</v>
      </c>
      <c r="F600" s="1208">
        <v>7.4016460085557698</v>
      </c>
    </row>
    <row r="601" spans="1:6" x14ac:dyDescent="0.3">
      <c r="A601" s="1209" t="s">
        <v>412</v>
      </c>
      <c r="B601" s="1795" t="s">
        <v>423</v>
      </c>
      <c r="C601" s="1210">
        <v>469</v>
      </c>
      <c r="D601" s="1210">
        <v>190</v>
      </c>
      <c r="E601" s="1210">
        <v>68.100358422939095</v>
      </c>
      <c r="F601" s="1210">
        <v>4.4447784609637102</v>
      </c>
    </row>
    <row r="602" spans="1:6" x14ac:dyDescent="0.3">
      <c r="A602" s="1211" t="s">
        <v>412</v>
      </c>
      <c r="B602" s="1795" t="s">
        <v>424</v>
      </c>
      <c r="C602" s="1212">
        <v>2210</v>
      </c>
      <c r="D602" s="1212">
        <v>-203</v>
      </c>
      <c r="E602" s="1212">
        <v>-8.4127641939494406</v>
      </c>
      <c r="F602" s="1212">
        <v>20.9444784621104</v>
      </c>
    </row>
    <row r="603" spans="1:6" x14ac:dyDescent="0.3">
      <c r="A603" s="1213" t="s">
        <v>412</v>
      </c>
      <c r="B603" s="1795" t="s">
        <v>425</v>
      </c>
      <c r="C603" s="1214">
        <v>1219</v>
      </c>
      <c r="D603" s="1214">
        <v>-280</v>
      </c>
      <c r="E603" s="1214">
        <v>-18.679119412942001</v>
      </c>
      <c r="F603" s="1214">
        <v>11.552633142675401</v>
      </c>
    </row>
    <row r="604" spans="1:6" x14ac:dyDescent="0.3">
      <c r="A604" s="1215" t="s">
        <v>412</v>
      </c>
      <c r="B604" s="1795" t="s">
        <v>426</v>
      </c>
      <c r="C604" s="1216">
        <v>991</v>
      </c>
      <c r="D604" s="1216">
        <v>77</v>
      </c>
      <c r="E604" s="1216">
        <v>8.4245076586433303</v>
      </c>
      <c r="F604" s="1216">
        <v>9.3918453194350509</v>
      </c>
    </row>
    <row r="605" spans="1:6" x14ac:dyDescent="0.3">
      <c r="A605" s="1217" t="s">
        <v>412</v>
      </c>
      <c r="B605" s="1795" t="s">
        <v>427</v>
      </c>
      <c r="C605" s="1218">
        <v>682</v>
      </c>
      <c r="D605" s="1218">
        <v>-77</v>
      </c>
      <c r="E605" s="1218">
        <v>-10.144927536231901</v>
      </c>
      <c r="F605" s="1218">
        <v>6.4634091905698297</v>
      </c>
    </row>
    <row r="606" spans="1:6" x14ac:dyDescent="0.3">
      <c r="A606" s="1219" t="s">
        <v>412</v>
      </c>
      <c r="B606" s="1795" t="s">
        <v>428</v>
      </c>
      <c r="C606" s="1220">
        <v>125</v>
      </c>
      <c r="D606" s="1220">
        <v>-27</v>
      </c>
      <c r="E606" s="1220">
        <v>-17.7631578947368</v>
      </c>
      <c r="F606" s="1220">
        <v>1.1846424469519501</v>
      </c>
    </row>
    <row r="607" spans="1:6" x14ac:dyDescent="0.3">
      <c r="A607" s="1221" t="s">
        <v>412</v>
      </c>
      <c r="B607" s="1795" t="s">
        <v>429</v>
      </c>
      <c r="C607" s="1222">
        <v>557</v>
      </c>
      <c r="D607" s="1222">
        <v>-50</v>
      </c>
      <c r="E607" s="1222">
        <v>-8.2372322899505797</v>
      </c>
      <c r="F607" s="1222">
        <v>5.2787667436178802</v>
      </c>
    </row>
    <row r="608" spans="1:6" x14ac:dyDescent="0.3">
      <c r="A608" s="1223" t="s">
        <v>412</v>
      </c>
      <c r="B608" s="1795" t="s">
        <v>430</v>
      </c>
      <c r="C608" s="1224">
        <v>700</v>
      </c>
      <c r="D608" s="1224">
        <v>-46</v>
      </c>
      <c r="E608" s="1224">
        <v>-6.1662198391420899</v>
      </c>
      <c r="F608" s="1224">
        <v>6.6339977029309098</v>
      </c>
    </row>
    <row r="609" spans="1:6" x14ac:dyDescent="0.3">
      <c r="A609" s="1225" t="s">
        <v>412</v>
      </c>
      <c r="B609" s="1795" t="s">
        <v>431</v>
      </c>
      <c r="C609" s="1226">
        <v>212</v>
      </c>
      <c r="D609" s="1226">
        <v>24</v>
      </c>
      <c r="E609" s="1226">
        <v>12.7659574468085</v>
      </c>
      <c r="F609" s="1226">
        <v>2.0091535900305</v>
      </c>
    </row>
    <row r="610" spans="1:6" x14ac:dyDescent="0.3">
      <c r="A610" s="1227" t="s">
        <v>412</v>
      </c>
      <c r="B610" s="1795" t="s">
        <v>432</v>
      </c>
      <c r="C610" s="1228">
        <v>488</v>
      </c>
      <c r="D610" s="1228">
        <v>-70</v>
      </c>
      <c r="E610" s="1228">
        <v>-12.544802867383501</v>
      </c>
      <c r="F610" s="1228">
        <v>4.6248441129004103</v>
      </c>
    </row>
    <row r="611" spans="1:6" x14ac:dyDescent="0.3">
      <c r="A611" s="1229" t="s">
        <v>412</v>
      </c>
      <c r="B611" s="1795" t="s">
        <v>433</v>
      </c>
      <c r="C611" s="1230">
        <v>8795</v>
      </c>
      <c r="D611" s="1230">
        <v>-724</v>
      </c>
      <c r="E611" s="1230">
        <v>-7.6058409496795898</v>
      </c>
      <c r="F611" s="1230">
        <v>83.351442567539095</v>
      </c>
    </row>
    <row r="612" spans="1:6" x14ac:dyDescent="0.3">
      <c r="A612" s="1231" t="s">
        <v>412</v>
      </c>
      <c r="B612" s="1795" t="s">
        <v>434</v>
      </c>
      <c r="C612" s="1232">
        <v>941</v>
      </c>
      <c r="D612" s="1232">
        <v>-175</v>
      </c>
      <c r="E612" s="1232">
        <v>-15.6810035842294</v>
      </c>
      <c r="F612" s="1232">
        <v>8.9179883406542704</v>
      </c>
    </row>
    <row r="613" spans="1:6" x14ac:dyDescent="0.3">
      <c r="A613" s="1233" t="s">
        <v>412</v>
      </c>
      <c r="B613" s="1795" t="s">
        <v>435</v>
      </c>
      <c r="C613" s="1234">
        <v>208</v>
      </c>
      <c r="D613" s="1234">
        <v>30</v>
      </c>
      <c r="E613" s="1234">
        <v>16.8539325842697</v>
      </c>
      <c r="F613" s="1234">
        <v>1.9712450317280401</v>
      </c>
    </row>
    <row r="614" spans="1:6" x14ac:dyDescent="0.3">
      <c r="A614" s="1235" t="s">
        <v>412</v>
      </c>
      <c r="B614" s="1795" t="s">
        <v>436</v>
      </c>
      <c r="C614" s="1236">
        <v>733</v>
      </c>
      <c r="D614" s="1236">
        <v>-205</v>
      </c>
      <c r="E614" s="1236">
        <v>-21.855010660980799</v>
      </c>
      <c r="F614" s="1236">
        <v>6.9467433089262203</v>
      </c>
    </row>
    <row r="615" spans="1:6" x14ac:dyDescent="0.3">
      <c r="A615" s="1237" t="s">
        <v>412</v>
      </c>
      <c r="B615" s="1795" t="s">
        <v>437</v>
      </c>
      <c r="C615" s="1238">
        <v>7854</v>
      </c>
      <c r="D615" s="1238">
        <v>-549</v>
      </c>
      <c r="E615" s="1238">
        <v>-6.5333809353802197</v>
      </c>
      <c r="F615" s="1238">
        <v>74.433454226884805</v>
      </c>
    </row>
    <row r="616" spans="1:6" x14ac:dyDescent="0.3">
      <c r="A616" s="1239" t="s">
        <v>412</v>
      </c>
      <c r="B616" s="1795" t="s">
        <v>438</v>
      </c>
      <c r="C616" s="1240">
        <v>2022</v>
      </c>
      <c r="D616" s="1240">
        <v>-29</v>
      </c>
      <c r="E616" s="1240">
        <v>-1.4139444173573901</v>
      </c>
      <c r="F616" s="1240">
        <v>19.162776221894699</v>
      </c>
    </row>
    <row r="617" spans="1:6" x14ac:dyDescent="0.3">
      <c r="A617" s="1241" t="s">
        <v>412</v>
      </c>
      <c r="B617" s="1795" t="s">
        <v>439</v>
      </c>
      <c r="C617" s="1242">
        <v>128</v>
      </c>
      <c r="D617" s="1242">
        <v>5</v>
      </c>
      <c r="E617" s="1242">
        <v>4.0650406504065</v>
      </c>
      <c r="F617" s="1242">
        <v>1.2130738656787901</v>
      </c>
    </row>
    <row r="618" spans="1:6" x14ac:dyDescent="0.3">
      <c r="A618" s="1243" t="s">
        <v>412</v>
      </c>
      <c r="B618" s="1795" t="s">
        <v>440</v>
      </c>
      <c r="C618" s="1244">
        <v>1894</v>
      </c>
      <c r="D618" s="1244">
        <v>-34</v>
      </c>
      <c r="E618" s="1244">
        <v>-1.7634854771784201</v>
      </c>
      <c r="F618" s="1244">
        <v>17.949702356215901</v>
      </c>
    </row>
    <row r="619" spans="1:6" x14ac:dyDescent="0.3">
      <c r="A619" s="1245" t="s">
        <v>412</v>
      </c>
      <c r="B619" s="1795" t="s">
        <v>441</v>
      </c>
      <c r="C619" s="1246">
        <v>56</v>
      </c>
      <c r="D619" s="1246">
        <v>-9</v>
      </c>
      <c r="E619" s="1246">
        <v>-13.846153846153801</v>
      </c>
      <c r="F619" s="1246">
        <v>0.53071981623447295</v>
      </c>
    </row>
    <row r="620" spans="1:6" x14ac:dyDescent="0.3">
      <c r="A620" s="1247" t="s">
        <v>412</v>
      </c>
      <c r="B620" s="1795" t="s">
        <v>442</v>
      </c>
      <c r="C620" s="1248">
        <v>5</v>
      </c>
      <c r="D620" s="1248">
        <v>5</v>
      </c>
      <c r="E620" s="1248" t="s">
        <v>38</v>
      </c>
      <c r="F620" s="1248">
        <v>4.73856978780779E-2</v>
      </c>
    </row>
    <row r="621" spans="1:6" x14ac:dyDescent="0.3">
      <c r="A621" s="1249" t="s">
        <v>412</v>
      </c>
      <c r="B621" s="1795" t="s">
        <v>443</v>
      </c>
      <c r="C621" s="1250">
        <v>2</v>
      </c>
      <c r="D621" s="1250" t="s">
        <v>38</v>
      </c>
      <c r="E621" s="1250" t="s">
        <v>38</v>
      </c>
      <c r="F621" s="1250">
        <v>1.8954279151231199E-2</v>
      </c>
    </row>
    <row r="622" spans="1:6" x14ac:dyDescent="0.3">
      <c r="A622" s="1251" t="s">
        <v>444</v>
      </c>
      <c r="B622" s="1795" t="s">
        <v>445</v>
      </c>
      <c r="C622" s="1252">
        <v>35</v>
      </c>
      <c r="D622" s="1252">
        <v>-7</v>
      </c>
      <c r="E622" s="1252">
        <v>-16.6666666666667</v>
      </c>
      <c r="F622" s="1252">
        <v>0.33169988514654503</v>
      </c>
    </row>
    <row r="623" spans="1:6" x14ac:dyDescent="0.3">
      <c r="A623" s="1253" t="s">
        <v>446</v>
      </c>
      <c r="B623" s="1795" t="s">
        <v>447</v>
      </c>
      <c r="C623" s="1254">
        <v>1</v>
      </c>
      <c r="D623" s="1254">
        <v>0</v>
      </c>
      <c r="E623" s="1254">
        <v>0</v>
      </c>
      <c r="F623" s="1254">
        <v>9.4771395756155907E-3</v>
      </c>
    </row>
    <row r="624" spans="1:6" x14ac:dyDescent="0.3">
      <c r="A624" s="1255" t="s">
        <v>412</v>
      </c>
      <c r="B624" s="1795" t="s">
        <v>448</v>
      </c>
      <c r="C624" s="1256">
        <v>1542</v>
      </c>
      <c r="D624" s="1256">
        <v>-124</v>
      </c>
      <c r="E624" s="1256">
        <v>-7.4429771908763502</v>
      </c>
      <c r="F624" s="1256">
        <v>14.6137492255992</v>
      </c>
    </row>
    <row r="625" spans="1:6" x14ac:dyDescent="0.3">
      <c r="A625" s="1257" t="s">
        <v>412</v>
      </c>
      <c r="B625" s="1795" t="s">
        <v>449</v>
      </c>
      <c r="C625" s="1258">
        <v>389</v>
      </c>
      <c r="D625" s="1258">
        <v>-49</v>
      </c>
      <c r="E625" s="1258">
        <v>-11.187214611872101</v>
      </c>
      <c r="F625" s="1258">
        <v>3.6866072949144599</v>
      </c>
    </row>
    <row r="626" spans="1:6" x14ac:dyDescent="0.3">
      <c r="A626" s="1259" t="s">
        <v>412</v>
      </c>
      <c r="B626" s="1795" t="s">
        <v>450</v>
      </c>
      <c r="C626" s="1260">
        <v>1153</v>
      </c>
      <c r="D626" s="1260">
        <v>-75</v>
      </c>
      <c r="E626" s="1260">
        <v>-6.1074918566775196</v>
      </c>
      <c r="F626" s="1260">
        <v>10.927141930684799</v>
      </c>
    </row>
    <row r="627" spans="1:6" x14ac:dyDescent="0.3">
      <c r="A627" s="1261" t="s">
        <v>451</v>
      </c>
      <c r="B627" s="1795" t="s">
        <v>452</v>
      </c>
      <c r="C627" s="1262">
        <v>0</v>
      </c>
      <c r="D627" s="1262">
        <v>0</v>
      </c>
      <c r="E627" s="1262" t="s">
        <v>38</v>
      </c>
      <c r="F627" s="1262">
        <v>0</v>
      </c>
    </row>
    <row r="628" spans="1:6" x14ac:dyDescent="0.3">
      <c r="A628" s="1263" t="s">
        <v>453</v>
      </c>
      <c r="B628" s="1795" t="s">
        <v>454</v>
      </c>
      <c r="C628" s="1264">
        <v>28</v>
      </c>
      <c r="D628" s="1264">
        <v>-9</v>
      </c>
      <c r="E628" s="1264">
        <v>-24.324324324324301</v>
      </c>
      <c r="F628" s="1264">
        <v>0.26535990811723598</v>
      </c>
    </row>
    <row r="629" spans="1:6" x14ac:dyDescent="0.3">
      <c r="A629" s="1265" t="s">
        <v>455</v>
      </c>
      <c r="B629" s="1795" t="s">
        <v>456</v>
      </c>
      <c r="C629" s="1266">
        <v>641</v>
      </c>
      <c r="D629" s="1266">
        <v>18</v>
      </c>
      <c r="E629" s="1266">
        <v>2.8892455858748001</v>
      </c>
      <c r="F629" s="1266">
        <v>6.0748464679695902</v>
      </c>
    </row>
    <row r="630" spans="1:6" x14ac:dyDescent="0.3">
      <c r="A630" s="1267" t="s">
        <v>457</v>
      </c>
      <c r="B630" s="1795" t="s">
        <v>458</v>
      </c>
      <c r="C630" s="1268">
        <v>1</v>
      </c>
      <c r="D630" s="1268">
        <v>-3</v>
      </c>
      <c r="E630" s="1268">
        <v>-75</v>
      </c>
      <c r="F630" s="1268">
        <v>9.4771395756155907E-3</v>
      </c>
    </row>
    <row r="631" spans="1:6" x14ac:dyDescent="0.3">
      <c r="A631" s="1269" t="s">
        <v>459</v>
      </c>
      <c r="B631" s="1795" t="s">
        <v>460</v>
      </c>
      <c r="C631" s="1270">
        <v>347</v>
      </c>
      <c r="D631" s="1270">
        <v>-18</v>
      </c>
      <c r="E631" s="1270">
        <v>-4.9315068493150704</v>
      </c>
      <c r="F631" s="1270">
        <v>3.2885674327386099</v>
      </c>
    </row>
    <row r="632" spans="1:6" x14ac:dyDescent="0.3">
      <c r="A632" s="1271" t="s">
        <v>461</v>
      </c>
      <c r="B632" s="1795" t="s">
        <v>462</v>
      </c>
      <c r="C632" s="1272">
        <v>140</v>
      </c>
      <c r="D632" s="1272">
        <v>7</v>
      </c>
      <c r="E632" s="1272">
        <v>5.2631578947368398</v>
      </c>
      <c r="F632" s="1272">
        <v>1.3267995405861801</v>
      </c>
    </row>
    <row r="633" spans="1:6" x14ac:dyDescent="0.3">
      <c r="A633" s="1273" t="s">
        <v>463</v>
      </c>
      <c r="B633" s="1795" t="s">
        <v>464</v>
      </c>
      <c r="C633" s="1274">
        <v>207</v>
      </c>
      <c r="D633" s="1274">
        <v>-25</v>
      </c>
      <c r="E633" s="1274">
        <v>-10.7758620689655</v>
      </c>
      <c r="F633" s="1274">
        <v>1.96176789215243</v>
      </c>
    </row>
    <row r="634" spans="1:6" x14ac:dyDescent="0.3">
      <c r="A634" s="1275" t="s">
        <v>465</v>
      </c>
      <c r="B634" s="1795" t="s">
        <v>466</v>
      </c>
      <c r="C634" s="1276">
        <v>28</v>
      </c>
      <c r="D634" s="1276">
        <v>-4</v>
      </c>
      <c r="E634" s="1276">
        <v>-12.5</v>
      </c>
      <c r="F634" s="1276">
        <v>0.26535990811723598</v>
      </c>
    </row>
    <row r="635" spans="1:6" x14ac:dyDescent="0.3">
      <c r="A635" s="1277" t="s">
        <v>467</v>
      </c>
      <c r="B635" s="19" t="s">
        <v>468</v>
      </c>
      <c r="C635" s="1278">
        <v>856</v>
      </c>
      <c r="D635" s="1278">
        <v>-86</v>
      </c>
      <c r="E635" s="1278">
        <v>-9.1295116772823803</v>
      </c>
      <c r="F635" s="1278">
        <v>8.1124314767269396</v>
      </c>
    </row>
    <row r="636" spans="1:6" x14ac:dyDescent="0.3">
      <c r="A636" s="1279" t="s">
        <v>469</v>
      </c>
      <c r="B636" s="1795" t="s">
        <v>470</v>
      </c>
      <c r="C636" s="1280">
        <v>47</v>
      </c>
      <c r="D636" s="1280">
        <v>-29</v>
      </c>
      <c r="E636" s="1280">
        <v>-38.157894736842103</v>
      </c>
      <c r="F636" s="1280">
        <v>0.44542556005393302</v>
      </c>
    </row>
    <row r="637" spans="1:6" x14ac:dyDescent="0.3">
      <c r="A637" s="1281" t="s">
        <v>471</v>
      </c>
      <c r="B637" s="1795" t="s">
        <v>472</v>
      </c>
      <c r="C637" s="1282">
        <v>672</v>
      </c>
      <c r="D637" s="1282">
        <v>-49</v>
      </c>
      <c r="E637" s="1282">
        <v>-6.7961165048543704</v>
      </c>
      <c r="F637" s="1282">
        <v>6.3686377948136697</v>
      </c>
    </row>
    <row r="638" spans="1:6" x14ac:dyDescent="0.3">
      <c r="A638" s="1283" t="s">
        <v>473</v>
      </c>
      <c r="B638" s="1795" t="s">
        <v>474</v>
      </c>
      <c r="C638" s="1284">
        <v>55</v>
      </c>
      <c r="D638" s="1284">
        <v>9</v>
      </c>
      <c r="E638" s="1284">
        <v>19.565217391304301</v>
      </c>
      <c r="F638" s="1284">
        <v>0.52124267665885704</v>
      </c>
    </row>
    <row r="639" spans="1:6" x14ac:dyDescent="0.3">
      <c r="A639" s="1285" t="s">
        <v>475</v>
      </c>
      <c r="B639" s="1795" t="s">
        <v>476</v>
      </c>
      <c r="C639" s="1286">
        <v>7</v>
      </c>
      <c r="D639" s="1286">
        <v>-1</v>
      </c>
      <c r="E639" s="1286">
        <v>-12.5</v>
      </c>
      <c r="F639" s="1286">
        <v>6.6339977029309105E-2</v>
      </c>
    </row>
    <row r="640" spans="1:6" x14ac:dyDescent="0.3">
      <c r="A640" s="1287" t="s">
        <v>477</v>
      </c>
      <c r="B640" s="1795" t="s">
        <v>478</v>
      </c>
      <c r="C640" s="1288">
        <v>4</v>
      </c>
      <c r="D640" s="1288">
        <v>-1</v>
      </c>
      <c r="E640" s="1288">
        <v>-20</v>
      </c>
      <c r="F640" s="1288">
        <v>3.79085583024623E-2</v>
      </c>
    </row>
    <row r="641" spans="1:6" x14ac:dyDescent="0.3">
      <c r="A641" s="1289" t="s">
        <v>479</v>
      </c>
      <c r="B641" s="1795" t="s">
        <v>480</v>
      </c>
      <c r="C641" s="1290">
        <v>0</v>
      </c>
      <c r="D641" s="1290">
        <v>-1</v>
      </c>
      <c r="E641" s="1290">
        <v>-100</v>
      </c>
      <c r="F641" s="1290">
        <v>0</v>
      </c>
    </row>
    <row r="642" spans="1:6" x14ac:dyDescent="0.3">
      <c r="A642" s="1291" t="s">
        <v>481</v>
      </c>
      <c r="B642" s="1795" t="s">
        <v>482</v>
      </c>
      <c r="C642" s="1292">
        <v>57</v>
      </c>
      <c r="D642" s="1292">
        <v>-14</v>
      </c>
      <c r="E642" s="1292">
        <v>-19.7183098591549</v>
      </c>
      <c r="F642" s="1292">
        <v>0.54019695581008798</v>
      </c>
    </row>
    <row r="643" spans="1:6" x14ac:dyDescent="0.3">
      <c r="A643" s="1293" t="s">
        <v>483</v>
      </c>
      <c r="B643" s="1795" t="s">
        <v>484</v>
      </c>
      <c r="C643" s="1294">
        <v>8</v>
      </c>
      <c r="D643" s="1294">
        <v>-1</v>
      </c>
      <c r="E643" s="1294">
        <v>-11.1111111111111</v>
      </c>
      <c r="F643" s="1294">
        <v>7.5817116604924698E-2</v>
      </c>
    </row>
    <row r="644" spans="1:6" x14ac:dyDescent="0.3">
      <c r="A644" s="1295" t="s">
        <v>485</v>
      </c>
      <c r="B644" s="1795" t="s">
        <v>486</v>
      </c>
      <c r="C644" s="1296">
        <v>6</v>
      </c>
      <c r="D644" s="1296">
        <v>1</v>
      </c>
      <c r="E644" s="1296">
        <v>20</v>
      </c>
      <c r="F644" s="1296">
        <v>5.6862837453693499E-2</v>
      </c>
    </row>
    <row r="645" spans="1:6" x14ac:dyDescent="0.3">
      <c r="A645" s="1297" t="s">
        <v>487</v>
      </c>
      <c r="B645" s="19" t="s">
        <v>488</v>
      </c>
      <c r="C645" s="1298">
        <v>1914</v>
      </c>
      <c r="D645" s="1298">
        <v>596</v>
      </c>
      <c r="E645" s="1298">
        <v>45.220030349013697</v>
      </c>
      <c r="F645" s="1298">
        <v>18.1392451477282</v>
      </c>
    </row>
    <row r="646" spans="1:6" x14ac:dyDescent="0.3">
      <c r="A646" s="1299" t="s">
        <v>489</v>
      </c>
      <c r="B646" s="1795" t="s">
        <v>490</v>
      </c>
      <c r="C646" s="1300">
        <v>40</v>
      </c>
      <c r="D646" s="1300">
        <v>8</v>
      </c>
      <c r="E646" s="1300">
        <v>25</v>
      </c>
      <c r="F646" s="1300">
        <v>0.37908558302462297</v>
      </c>
    </row>
    <row r="647" spans="1:6" x14ac:dyDescent="0.3">
      <c r="A647" s="1301" t="s">
        <v>491</v>
      </c>
      <c r="B647" s="1795" t="s">
        <v>492</v>
      </c>
      <c r="C647" s="1302">
        <v>4</v>
      </c>
      <c r="D647" s="1302">
        <v>4</v>
      </c>
      <c r="E647" s="1302" t="s">
        <v>38</v>
      </c>
      <c r="F647" s="1302">
        <v>3.79085583024623E-2</v>
      </c>
    </row>
    <row r="648" spans="1:6" x14ac:dyDescent="0.3">
      <c r="A648" s="1303" t="s">
        <v>493</v>
      </c>
      <c r="B648" s="1795" t="s">
        <v>494</v>
      </c>
      <c r="C648" s="1304">
        <v>1</v>
      </c>
      <c r="D648" s="1304">
        <v>0</v>
      </c>
      <c r="E648" s="1304">
        <v>0</v>
      </c>
      <c r="F648" s="1304">
        <v>9.4771395756155907E-3</v>
      </c>
    </row>
    <row r="649" spans="1:6" x14ac:dyDescent="0.3">
      <c r="A649" s="1305" t="s">
        <v>495</v>
      </c>
      <c r="B649" s="1795" t="s">
        <v>496</v>
      </c>
      <c r="C649" s="1306">
        <v>4</v>
      </c>
      <c r="D649" s="1306">
        <v>2</v>
      </c>
      <c r="E649" s="1306">
        <v>100</v>
      </c>
      <c r="F649" s="1306">
        <v>3.79085583024623E-2</v>
      </c>
    </row>
    <row r="650" spans="1:6" x14ac:dyDescent="0.3">
      <c r="A650" s="1307" t="s">
        <v>497</v>
      </c>
      <c r="B650" s="1795" t="s">
        <v>498</v>
      </c>
      <c r="C650" s="1308">
        <v>1865</v>
      </c>
      <c r="D650" s="1308">
        <v>582</v>
      </c>
      <c r="E650" s="1308">
        <v>45.362431800467697</v>
      </c>
      <c r="F650" s="1308">
        <v>17.674865308523099</v>
      </c>
    </row>
    <row r="651" spans="1:6" x14ac:dyDescent="0.3">
      <c r="A651" s="1309" t="s">
        <v>499</v>
      </c>
      <c r="B651" s="19" t="s">
        <v>500</v>
      </c>
      <c r="C651" s="1310">
        <v>13500</v>
      </c>
      <c r="D651" s="1310">
        <v>-3920</v>
      </c>
      <c r="E651" s="1310">
        <v>-22.502870264064299</v>
      </c>
      <c r="F651" s="1310">
        <v>127.94138427081</v>
      </c>
    </row>
    <row r="652" spans="1:6" x14ac:dyDescent="0.3">
      <c r="A652" s="1311" t="s">
        <v>501</v>
      </c>
      <c r="B652" s="1795" t="s">
        <v>502</v>
      </c>
      <c r="C652" s="1312">
        <v>13499</v>
      </c>
      <c r="D652" s="1312">
        <v>-3920</v>
      </c>
      <c r="E652" s="1312">
        <v>-22.504162121821</v>
      </c>
      <c r="F652" s="1312">
        <v>127.93190713123499</v>
      </c>
    </row>
    <row r="653" spans="1:6" x14ac:dyDescent="0.3">
      <c r="A653" s="1313" t="s">
        <v>501</v>
      </c>
      <c r="B653" s="1795" t="s">
        <v>503</v>
      </c>
      <c r="C653" s="1314">
        <v>279</v>
      </c>
      <c r="D653" s="1314">
        <v>-12</v>
      </c>
      <c r="E653" s="1314">
        <v>-4.1237113402061896</v>
      </c>
      <c r="F653" s="1314">
        <v>2.6441219415967501</v>
      </c>
    </row>
    <row r="654" spans="1:6" x14ac:dyDescent="0.3">
      <c r="A654" s="1315" t="s">
        <v>501</v>
      </c>
      <c r="B654" s="1795" t="s">
        <v>504</v>
      </c>
      <c r="C654" s="1316">
        <v>92</v>
      </c>
      <c r="D654" s="1316">
        <v>-27</v>
      </c>
      <c r="E654" s="1316">
        <v>-22.689075630252098</v>
      </c>
      <c r="F654" s="1316">
        <v>0.871896840956634</v>
      </c>
    </row>
    <row r="655" spans="1:6" x14ac:dyDescent="0.3">
      <c r="A655" s="1317" t="s">
        <v>501</v>
      </c>
      <c r="B655" s="1795" t="s">
        <v>505</v>
      </c>
      <c r="C655" s="1318">
        <v>187</v>
      </c>
      <c r="D655" s="1318">
        <v>15</v>
      </c>
      <c r="E655" s="1318">
        <v>8.7209302325581408</v>
      </c>
      <c r="F655" s="1318">
        <v>1.77222510064011</v>
      </c>
    </row>
    <row r="656" spans="1:6" x14ac:dyDescent="0.3">
      <c r="A656" s="1319" t="s">
        <v>501</v>
      </c>
      <c r="B656" s="1795" t="s">
        <v>506</v>
      </c>
      <c r="C656" s="1320">
        <v>1638</v>
      </c>
      <c r="D656" s="1320">
        <v>-128</v>
      </c>
      <c r="E656" s="1320">
        <v>-7.2480181200453</v>
      </c>
      <c r="F656" s="1320">
        <v>15.523554624858299</v>
      </c>
    </row>
    <row r="657" spans="1:6" x14ac:dyDescent="0.3">
      <c r="A657" s="1321" t="s">
        <v>501</v>
      </c>
      <c r="B657" s="1795" t="s">
        <v>507</v>
      </c>
      <c r="C657" s="1322">
        <v>2677</v>
      </c>
      <c r="D657" s="1322">
        <v>-612</v>
      </c>
      <c r="E657" s="1322">
        <v>-18.607479477044699</v>
      </c>
      <c r="F657" s="1322">
        <v>25.370302643922901</v>
      </c>
    </row>
    <row r="658" spans="1:6" x14ac:dyDescent="0.3">
      <c r="A658" s="1323" t="s">
        <v>501</v>
      </c>
      <c r="B658" s="1795" t="s">
        <v>508</v>
      </c>
      <c r="C658" s="1324">
        <v>1506</v>
      </c>
      <c r="D658" s="1324">
        <v>-918</v>
      </c>
      <c r="E658" s="1324">
        <v>-37.8712871287129</v>
      </c>
      <c r="F658" s="1324">
        <v>14.2725722008771</v>
      </c>
    </row>
    <row r="659" spans="1:6" x14ac:dyDescent="0.3">
      <c r="A659" s="1325" t="s">
        <v>501</v>
      </c>
      <c r="B659" s="1795" t="s">
        <v>509</v>
      </c>
      <c r="C659" s="1326">
        <v>5130</v>
      </c>
      <c r="D659" s="1326">
        <v>-1928</v>
      </c>
      <c r="E659" s="1326">
        <v>-27.3165202606971</v>
      </c>
      <c r="F659" s="1326">
        <v>48.617726022908002</v>
      </c>
    </row>
    <row r="660" spans="1:6" x14ac:dyDescent="0.3">
      <c r="A660" s="1327" t="s">
        <v>501</v>
      </c>
      <c r="B660" s="1795" t="s">
        <v>510</v>
      </c>
      <c r="C660" s="1328">
        <v>2269</v>
      </c>
      <c r="D660" s="1328">
        <v>-322</v>
      </c>
      <c r="E660" s="1328">
        <v>-12.4276341181011</v>
      </c>
      <c r="F660" s="1328">
        <v>21.503629697071801</v>
      </c>
    </row>
    <row r="661" spans="1:6" x14ac:dyDescent="0.3">
      <c r="A661" s="1329" t="s">
        <v>511</v>
      </c>
      <c r="B661" s="1795" t="s">
        <v>512</v>
      </c>
      <c r="C661" s="1330">
        <v>1</v>
      </c>
      <c r="D661" s="1330">
        <v>0</v>
      </c>
      <c r="E661" s="1330">
        <v>0</v>
      </c>
      <c r="F661" s="1330">
        <v>9.4771395756155907E-3</v>
      </c>
    </row>
    <row r="662" spans="1:6" x14ac:dyDescent="0.3">
      <c r="A662" s="1331" t="s">
        <v>513</v>
      </c>
      <c r="B662" s="1794" t="s">
        <v>514</v>
      </c>
      <c r="C662" s="1332">
        <v>1243</v>
      </c>
      <c r="D662" s="1332">
        <v>64</v>
      </c>
      <c r="E662" s="1332">
        <v>5.4283290924512304</v>
      </c>
      <c r="F662" s="1332">
        <v>11.7800844924902</v>
      </c>
    </row>
    <row r="663" spans="1:6" x14ac:dyDescent="0.3">
      <c r="A663" s="1333" t="s">
        <v>515</v>
      </c>
      <c r="B663" s="19" t="s">
        <v>516</v>
      </c>
      <c r="C663" s="1334">
        <v>388</v>
      </c>
      <c r="D663" s="1334">
        <v>10</v>
      </c>
      <c r="E663" s="1334">
        <v>2.64550264550265</v>
      </c>
      <c r="F663" s="1334">
        <v>3.6771301553388498</v>
      </c>
    </row>
    <row r="664" spans="1:6" x14ac:dyDescent="0.3">
      <c r="A664" s="1335" t="s">
        <v>517</v>
      </c>
      <c r="B664" s="1795" t="s">
        <v>518</v>
      </c>
      <c r="C664" s="1336">
        <v>94</v>
      </c>
      <c r="D664" s="1336">
        <v>-17</v>
      </c>
      <c r="E664" s="1336">
        <v>-15.315315315315299</v>
      </c>
      <c r="F664" s="1336">
        <v>0.89085112010786505</v>
      </c>
    </row>
    <row r="665" spans="1:6" x14ac:dyDescent="0.3">
      <c r="A665" s="1337" t="s">
        <v>519</v>
      </c>
      <c r="B665" s="1795" t="s">
        <v>520</v>
      </c>
      <c r="C665" s="1338">
        <v>58</v>
      </c>
      <c r="D665" s="1338">
        <v>38</v>
      </c>
      <c r="E665" s="1338">
        <v>190</v>
      </c>
      <c r="F665" s="1338">
        <v>0.549674095385704</v>
      </c>
    </row>
    <row r="666" spans="1:6" x14ac:dyDescent="0.3">
      <c r="A666" s="1339" t="s">
        <v>519</v>
      </c>
      <c r="B666" s="1795" t="s">
        <v>521</v>
      </c>
      <c r="C666" s="1340">
        <v>50</v>
      </c>
      <c r="D666" s="1340">
        <v>30</v>
      </c>
      <c r="E666" s="1340">
        <v>150</v>
      </c>
      <c r="F666" s="1340">
        <v>0.47385697878077898</v>
      </c>
    </row>
    <row r="667" spans="1:6" x14ac:dyDescent="0.3">
      <c r="A667" s="1341" t="s">
        <v>519</v>
      </c>
      <c r="B667" s="1795" t="s">
        <v>522</v>
      </c>
      <c r="C667" s="1342">
        <v>25</v>
      </c>
      <c r="D667" s="1342">
        <v>19</v>
      </c>
      <c r="E667" s="1342">
        <v>316.66666666666703</v>
      </c>
      <c r="F667" s="1342">
        <v>0.23692848939038999</v>
      </c>
    </row>
    <row r="668" spans="1:6" x14ac:dyDescent="0.3">
      <c r="A668" s="1343" t="s">
        <v>519</v>
      </c>
      <c r="B668" s="1795" t="s">
        <v>523</v>
      </c>
      <c r="C668" s="1344">
        <v>25</v>
      </c>
      <c r="D668" s="1344">
        <v>11</v>
      </c>
      <c r="E668" s="1344">
        <v>78.571428571428598</v>
      </c>
      <c r="F668" s="1344">
        <v>0.23692848939038999</v>
      </c>
    </row>
    <row r="669" spans="1:6" x14ac:dyDescent="0.3">
      <c r="A669" s="1345" t="s">
        <v>519</v>
      </c>
      <c r="B669" s="1795" t="s">
        <v>524</v>
      </c>
      <c r="C669" s="1346">
        <v>8</v>
      </c>
      <c r="D669" s="1346">
        <v>8</v>
      </c>
      <c r="E669" s="1346" t="s">
        <v>38</v>
      </c>
      <c r="F669" s="1346">
        <v>7.5817116604924698E-2</v>
      </c>
    </row>
    <row r="670" spans="1:6" x14ac:dyDescent="0.3">
      <c r="A670" s="1347" t="s">
        <v>525</v>
      </c>
      <c r="B670" s="1795" t="s">
        <v>526</v>
      </c>
      <c r="C670" s="1348">
        <v>14</v>
      </c>
      <c r="D670" s="1348">
        <v>-18</v>
      </c>
      <c r="E670" s="1348">
        <v>-56.25</v>
      </c>
      <c r="F670" s="1348">
        <v>0.13267995405861799</v>
      </c>
    </row>
    <row r="671" spans="1:6" x14ac:dyDescent="0.3">
      <c r="A671" s="1349" t="s">
        <v>527</v>
      </c>
      <c r="B671" s="1795" t="s">
        <v>528</v>
      </c>
      <c r="C671" s="1350">
        <v>186</v>
      </c>
      <c r="D671" s="1350">
        <v>-9</v>
      </c>
      <c r="E671" s="1350">
        <v>-4.6153846153846203</v>
      </c>
      <c r="F671" s="1350">
        <v>1.7627479610645</v>
      </c>
    </row>
    <row r="672" spans="1:6" x14ac:dyDescent="0.3">
      <c r="A672" s="1351" t="s">
        <v>527</v>
      </c>
      <c r="B672" s="1795" t="s">
        <v>529</v>
      </c>
      <c r="C672" s="1352">
        <v>152</v>
      </c>
      <c r="D672" s="1352">
        <v>-20</v>
      </c>
      <c r="E672" s="1352">
        <v>-11.6279069767442</v>
      </c>
      <c r="F672" s="1352">
        <v>1.4405252154935699</v>
      </c>
    </row>
    <row r="673" spans="1:6" x14ac:dyDescent="0.3">
      <c r="A673" s="1353" t="s">
        <v>527</v>
      </c>
      <c r="B673" s="1795" t="s">
        <v>530</v>
      </c>
      <c r="C673" s="1354">
        <v>34</v>
      </c>
      <c r="D673" s="1354">
        <v>11</v>
      </c>
      <c r="E673" s="1354">
        <v>47.826086956521699</v>
      </c>
      <c r="F673" s="1354">
        <v>0.32222274557093</v>
      </c>
    </row>
    <row r="674" spans="1:6" x14ac:dyDescent="0.3">
      <c r="A674" s="1355" t="s">
        <v>531</v>
      </c>
      <c r="B674" s="1795" t="s">
        <v>937</v>
      </c>
      <c r="C674" s="1356">
        <v>6</v>
      </c>
      <c r="D674" s="1356">
        <v>-5</v>
      </c>
      <c r="E674" s="1356">
        <v>-45.454545454545503</v>
      </c>
      <c r="F674" s="1356">
        <v>5.6862837453693499E-2</v>
      </c>
    </row>
    <row r="675" spans="1:6" x14ac:dyDescent="0.3">
      <c r="A675" s="1357" t="s">
        <v>532</v>
      </c>
      <c r="B675" s="1795" t="s">
        <v>533</v>
      </c>
      <c r="C675" s="1358">
        <v>30</v>
      </c>
      <c r="D675" s="1358">
        <v>21</v>
      </c>
      <c r="E675" s="1358">
        <v>233.333333333333</v>
      </c>
      <c r="F675" s="1358">
        <v>0.28431418726846802</v>
      </c>
    </row>
    <row r="676" spans="1:6" x14ac:dyDescent="0.3">
      <c r="A676" s="1359" t="s">
        <v>534</v>
      </c>
      <c r="B676" s="19" t="s">
        <v>535</v>
      </c>
      <c r="C676" s="1360">
        <v>454</v>
      </c>
      <c r="D676" s="1360">
        <v>27</v>
      </c>
      <c r="E676" s="1360">
        <v>6.3231850117096</v>
      </c>
      <c r="F676" s="1360">
        <v>4.30262136732948</v>
      </c>
    </row>
    <row r="677" spans="1:6" x14ac:dyDescent="0.3">
      <c r="A677" s="1361" t="s">
        <v>536</v>
      </c>
      <c r="B677" s="1795" t="s">
        <v>537</v>
      </c>
      <c r="C677" s="1362">
        <v>298</v>
      </c>
      <c r="D677" s="1362">
        <v>-20</v>
      </c>
      <c r="E677" s="1362">
        <v>-6.2893081761006302</v>
      </c>
      <c r="F677" s="1362">
        <v>2.82418759353344</v>
      </c>
    </row>
    <row r="678" spans="1:6" x14ac:dyDescent="0.3">
      <c r="A678" s="1363" t="s">
        <v>536</v>
      </c>
      <c r="B678" s="1795" t="s">
        <v>538</v>
      </c>
      <c r="C678" s="1364">
        <v>1</v>
      </c>
      <c r="D678" s="1364">
        <v>1</v>
      </c>
      <c r="E678" s="1364" t="s">
        <v>38</v>
      </c>
      <c r="F678" s="1364">
        <v>9.4771395756155907E-3</v>
      </c>
    </row>
    <row r="679" spans="1:6" x14ac:dyDescent="0.3">
      <c r="A679" s="1365" t="s">
        <v>536</v>
      </c>
      <c r="B679" s="1795" t="s">
        <v>539</v>
      </c>
      <c r="C679" s="1366">
        <v>53</v>
      </c>
      <c r="D679" s="1366">
        <v>-9</v>
      </c>
      <c r="E679" s="1366">
        <v>-14.5161290322581</v>
      </c>
      <c r="F679" s="1366">
        <v>0.50228839750762599</v>
      </c>
    </row>
    <row r="680" spans="1:6" x14ac:dyDescent="0.3">
      <c r="A680" s="1367" t="s">
        <v>536</v>
      </c>
      <c r="B680" s="1795" t="s">
        <v>938</v>
      </c>
      <c r="C680" s="1368">
        <v>16</v>
      </c>
      <c r="D680" s="1368">
        <v>-10</v>
      </c>
      <c r="E680" s="1368">
        <v>-38.461538461538503</v>
      </c>
      <c r="F680" s="1368">
        <v>0.15163423320984901</v>
      </c>
    </row>
    <row r="681" spans="1:6" x14ac:dyDescent="0.3">
      <c r="A681" s="1369" t="s">
        <v>536</v>
      </c>
      <c r="B681" s="1795" t="s">
        <v>540</v>
      </c>
      <c r="C681" s="1370">
        <v>37</v>
      </c>
      <c r="D681" s="1370">
        <v>1</v>
      </c>
      <c r="E681" s="1370">
        <v>2.7777777777777799</v>
      </c>
      <c r="F681" s="1370">
        <v>0.35065416429777702</v>
      </c>
    </row>
    <row r="682" spans="1:6" x14ac:dyDescent="0.3">
      <c r="A682" s="1371" t="s">
        <v>536</v>
      </c>
      <c r="B682" s="1795" t="s">
        <v>541</v>
      </c>
      <c r="C682" s="1372">
        <v>244</v>
      </c>
      <c r="D682" s="1372">
        <v>-12</v>
      </c>
      <c r="E682" s="1372">
        <v>-4.6875</v>
      </c>
      <c r="F682" s="1372">
        <v>2.3124220564501998</v>
      </c>
    </row>
    <row r="683" spans="1:6" x14ac:dyDescent="0.3">
      <c r="A683" s="1373" t="s">
        <v>542</v>
      </c>
      <c r="B683" s="1795" t="s">
        <v>543</v>
      </c>
      <c r="C683" s="1374">
        <v>1</v>
      </c>
      <c r="D683" s="1374">
        <v>-3</v>
      </c>
      <c r="E683" s="1374">
        <v>-75</v>
      </c>
      <c r="F683" s="1374">
        <v>9.4771395756155907E-3</v>
      </c>
    </row>
    <row r="684" spans="1:6" x14ac:dyDescent="0.3">
      <c r="A684" s="1375" t="s">
        <v>544</v>
      </c>
      <c r="B684" s="1795" t="s">
        <v>545</v>
      </c>
      <c r="C684" s="1376">
        <v>91</v>
      </c>
      <c r="D684" s="1376">
        <v>49</v>
      </c>
      <c r="E684" s="1376">
        <v>116.666666666667</v>
      </c>
      <c r="F684" s="1376">
        <v>0.86241970138101798</v>
      </c>
    </row>
    <row r="685" spans="1:6" x14ac:dyDescent="0.3">
      <c r="A685" s="1377" t="s">
        <v>546</v>
      </c>
      <c r="B685" s="1795" t="s">
        <v>547</v>
      </c>
      <c r="C685" s="1378">
        <v>64</v>
      </c>
      <c r="D685" s="1378">
        <v>1</v>
      </c>
      <c r="E685" s="1378">
        <v>1.5873015873015901</v>
      </c>
      <c r="F685" s="1378">
        <v>0.60653693283939702</v>
      </c>
    </row>
    <row r="686" spans="1:6" x14ac:dyDescent="0.3">
      <c r="A686" s="1379" t="s">
        <v>548</v>
      </c>
      <c r="B686" s="19" t="s">
        <v>549</v>
      </c>
      <c r="C686" s="1380">
        <v>401</v>
      </c>
      <c r="D686" s="1380">
        <v>27</v>
      </c>
      <c r="E686" s="1380">
        <v>7.2192513368983997</v>
      </c>
      <c r="F686" s="1380">
        <v>3.80033296982185</v>
      </c>
    </row>
    <row r="687" spans="1:6" x14ac:dyDescent="0.3">
      <c r="A687" s="1381" t="s">
        <v>550</v>
      </c>
      <c r="B687" s="1795" t="s">
        <v>551</v>
      </c>
      <c r="C687" s="1382">
        <v>17</v>
      </c>
      <c r="D687" s="1382">
        <v>-6</v>
      </c>
      <c r="E687" s="1382">
        <v>-26.086956521739101</v>
      </c>
      <c r="F687" s="1382">
        <v>0.161111372785465</v>
      </c>
    </row>
    <row r="688" spans="1:6" x14ac:dyDescent="0.3">
      <c r="A688" s="1383" t="s">
        <v>552</v>
      </c>
      <c r="B688" s="1795" t="s">
        <v>553</v>
      </c>
      <c r="C688" s="1384">
        <v>248</v>
      </c>
      <c r="D688" s="1384">
        <v>35</v>
      </c>
      <c r="E688" s="1384">
        <v>16.431924882629101</v>
      </c>
      <c r="F688" s="1384">
        <v>2.3503306147526701</v>
      </c>
    </row>
    <row r="689" spans="1:6" x14ac:dyDescent="0.3">
      <c r="A689" s="1385" t="s">
        <v>554</v>
      </c>
      <c r="B689" s="1795" t="s">
        <v>939</v>
      </c>
      <c r="C689" s="1386">
        <v>40</v>
      </c>
      <c r="D689" s="1386">
        <v>-8</v>
      </c>
      <c r="E689" s="1386">
        <v>-16.6666666666667</v>
      </c>
      <c r="F689" s="1386">
        <v>0.37908558302462297</v>
      </c>
    </row>
    <row r="690" spans="1:6" x14ac:dyDescent="0.3">
      <c r="A690" s="1387" t="s">
        <v>555</v>
      </c>
      <c r="B690" s="1795" t="s">
        <v>556</v>
      </c>
      <c r="C690" s="1388">
        <v>96</v>
      </c>
      <c r="D690" s="1388">
        <v>6</v>
      </c>
      <c r="E690" s="1388">
        <v>6.6666666666666696</v>
      </c>
      <c r="F690" s="1388">
        <v>0.90980539925909598</v>
      </c>
    </row>
    <row r="691" spans="1:6" x14ac:dyDescent="0.3">
      <c r="A691" s="1389" t="s">
        <v>557</v>
      </c>
      <c r="B691" s="1794" t="s">
        <v>558</v>
      </c>
      <c r="C691" s="1390">
        <v>3317</v>
      </c>
      <c r="D691" s="1390">
        <v>369</v>
      </c>
      <c r="E691" s="1390">
        <v>12.516960651289001</v>
      </c>
      <c r="F691" s="1390">
        <v>31.4356719723169</v>
      </c>
    </row>
    <row r="692" spans="1:6" x14ac:dyDescent="0.3">
      <c r="A692" s="1391" t="s">
        <v>559</v>
      </c>
      <c r="B692" s="19" t="s">
        <v>560</v>
      </c>
      <c r="C692" s="1392">
        <v>853</v>
      </c>
      <c r="D692" s="1392">
        <v>289</v>
      </c>
      <c r="E692" s="1392">
        <v>51.241134751773103</v>
      </c>
      <c r="F692" s="1392">
        <v>8.0840000580001004</v>
      </c>
    </row>
    <row r="693" spans="1:6" x14ac:dyDescent="0.3">
      <c r="A693" s="1393" t="s">
        <v>561</v>
      </c>
      <c r="B693" s="1795" t="s">
        <v>562</v>
      </c>
      <c r="C693" s="1394">
        <v>37</v>
      </c>
      <c r="D693" s="1394">
        <v>24</v>
      </c>
      <c r="E693" s="1394">
        <v>184.61538461538501</v>
      </c>
      <c r="F693" s="1394">
        <v>0.35065416429777702</v>
      </c>
    </row>
    <row r="694" spans="1:6" x14ac:dyDescent="0.3">
      <c r="A694" s="1395" t="s">
        <v>563</v>
      </c>
      <c r="B694" s="1795" t="s">
        <v>564</v>
      </c>
      <c r="C694" s="1396">
        <v>64</v>
      </c>
      <c r="D694" s="1396">
        <v>-7</v>
      </c>
      <c r="E694" s="1396">
        <v>-9.8591549295774605</v>
      </c>
      <c r="F694" s="1396">
        <v>0.60653693283939702</v>
      </c>
    </row>
    <row r="695" spans="1:6" x14ac:dyDescent="0.3">
      <c r="A695" s="1397" t="s">
        <v>565</v>
      </c>
      <c r="B695" s="1795" t="s">
        <v>566</v>
      </c>
      <c r="C695" s="1398">
        <v>7</v>
      </c>
      <c r="D695" s="1398">
        <v>-10</v>
      </c>
      <c r="E695" s="1398">
        <v>-58.823529411764703</v>
      </c>
      <c r="F695" s="1398">
        <v>6.6339977029309105E-2</v>
      </c>
    </row>
    <row r="696" spans="1:6" x14ac:dyDescent="0.3">
      <c r="A696" s="1399" t="s">
        <v>567</v>
      </c>
      <c r="B696" s="1795" t="s">
        <v>568</v>
      </c>
      <c r="C696" s="1400">
        <v>65</v>
      </c>
      <c r="D696" s="1400">
        <v>-27</v>
      </c>
      <c r="E696" s="1400">
        <v>-29.347826086956498</v>
      </c>
      <c r="F696" s="1400">
        <v>0.61601407241501305</v>
      </c>
    </row>
    <row r="697" spans="1:6" x14ac:dyDescent="0.3">
      <c r="A697" s="1401" t="s">
        <v>569</v>
      </c>
      <c r="B697" s="1795" t="s">
        <v>570</v>
      </c>
      <c r="C697" s="1402">
        <v>5</v>
      </c>
      <c r="D697" s="1402">
        <v>1</v>
      </c>
      <c r="E697" s="1402">
        <v>25</v>
      </c>
      <c r="F697" s="1402">
        <v>4.73856978780779E-2</v>
      </c>
    </row>
    <row r="698" spans="1:6" x14ac:dyDescent="0.3">
      <c r="A698" s="1403" t="s">
        <v>571</v>
      </c>
      <c r="B698" s="1795" t="s">
        <v>572</v>
      </c>
      <c r="C698" s="1404">
        <v>525</v>
      </c>
      <c r="D698" s="1404">
        <v>269</v>
      </c>
      <c r="E698" s="1404">
        <v>105.078125</v>
      </c>
      <c r="F698" s="1404">
        <v>4.9754982771981799</v>
      </c>
    </row>
    <row r="699" spans="1:6" x14ac:dyDescent="0.3">
      <c r="A699" s="1405" t="s">
        <v>573</v>
      </c>
      <c r="B699" s="1795" t="s">
        <v>574</v>
      </c>
      <c r="C699" s="1406">
        <v>136</v>
      </c>
      <c r="D699" s="1406">
        <v>44</v>
      </c>
      <c r="E699" s="1406">
        <v>47.826086956521699</v>
      </c>
      <c r="F699" s="1406">
        <v>1.28889098228372</v>
      </c>
    </row>
    <row r="700" spans="1:6" x14ac:dyDescent="0.3">
      <c r="A700" s="1407" t="s">
        <v>575</v>
      </c>
      <c r="B700" s="1795" t="s">
        <v>576</v>
      </c>
      <c r="C700" s="1408">
        <v>14</v>
      </c>
      <c r="D700" s="1408">
        <v>-5</v>
      </c>
      <c r="E700" s="1408">
        <v>-26.315789473684202</v>
      </c>
      <c r="F700" s="1408">
        <v>0.13267995405861799</v>
      </c>
    </row>
    <row r="701" spans="1:6" x14ac:dyDescent="0.3">
      <c r="A701" s="1409" t="s">
        <v>577</v>
      </c>
      <c r="B701" s="19" t="s">
        <v>578</v>
      </c>
      <c r="C701" s="1410">
        <v>1550</v>
      </c>
      <c r="D701" s="1410">
        <v>-54</v>
      </c>
      <c r="E701" s="1410">
        <v>-3.3665835411471301</v>
      </c>
      <c r="F701" s="1410">
        <v>14.6895663422042</v>
      </c>
    </row>
    <row r="702" spans="1:6" x14ac:dyDescent="0.3">
      <c r="A702" s="1411" t="s">
        <v>579</v>
      </c>
      <c r="B702" s="1795" t="s">
        <v>580</v>
      </c>
      <c r="C702" s="1412">
        <v>325</v>
      </c>
      <c r="D702" s="1412">
        <v>4</v>
      </c>
      <c r="E702" s="1412">
        <v>1.2461059190031201</v>
      </c>
      <c r="F702" s="1412">
        <v>3.08007036207507</v>
      </c>
    </row>
    <row r="703" spans="1:6" x14ac:dyDescent="0.3">
      <c r="A703" s="1413" t="s">
        <v>581</v>
      </c>
      <c r="B703" s="1795" t="s">
        <v>582</v>
      </c>
      <c r="C703" s="1414">
        <v>89</v>
      </c>
      <c r="D703" s="1414">
        <v>0</v>
      </c>
      <c r="E703" s="1414">
        <v>0</v>
      </c>
      <c r="F703" s="1414">
        <v>0.84346542222978704</v>
      </c>
    </row>
    <row r="704" spans="1:6" x14ac:dyDescent="0.3">
      <c r="A704" s="1415" t="s">
        <v>581</v>
      </c>
      <c r="B704" s="1795" t="s">
        <v>583</v>
      </c>
      <c r="C704" s="1416">
        <v>99</v>
      </c>
      <c r="D704" s="1416">
        <v>-28</v>
      </c>
      <c r="E704" s="1416">
        <v>-22.0472440944882</v>
      </c>
      <c r="F704" s="1416">
        <v>0.93823681798594305</v>
      </c>
    </row>
    <row r="705" spans="1:6" x14ac:dyDescent="0.3">
      <c r="A705" s="1417" t="s">
        <v>579</v>
      </c>
      <c r="B705" s="1795" t="s">
        <v>584</v>
      </c>
      <c r="C705" s="1418">
        <v>137</v>
      </c>
      <c r="D705" s="1418">
        <v>32</v>
      </c>
      <c r="E705" s="1418">
        <v>30.476190476190499</v>
      </c>
      <c r="F705" s="1418">
        <v>1.2983681218593399</v>
      </c>
    </row>
    <row r="706" spans="1:6" x14ac:dyDescent="0.3">
      <c r="A706" s="1419" t="s">
        <v>585</v>
      </c>
      <c r="B706" s="1795" t="s">
        <v>586</v>
      </c>
      <c r="C706" s="1420">
        <v>469</v>
      </c>
      <c r="D706" s="1420">
        <v>10</v>
      </c>
      <c r="E706" s="1420">
        <v>2.17864923747277</v>
      </c>
      <c r="F706" s="1420">
        <v>4.4447784609637102</v>
      </c>
    </row>
    <row r="707" spans="1:6" x14ac:dyDescent="0.3">
      <c r="A707" s="1421" t="s">
        <v>587</v>
      </c>
      <c r="B707" s="1795" t="s">
        <v>588</v>
      </c>
      <c r="C707" s="1422">
        <v>366</v>
      </c>
      <c r="D707" s="1422">
        <v>-17</v>
      </c>
      <c r="E707" s="1422">
        <v>-4.4386422976501301</v>
      </c>
      <c r="F707" s="1422">
        <v>3.4686330846753002</v>
      </c>
    </row>
    <row r="708" spans="1:6" x14ac:dyDescent="0.3">
      <c r="A708" s="1423" t="s">
        <v>589</v>
      </c>
      <c r="B708" s="1795" t="s">
        <v>590</v>
      </c>
      <c r="C708" s="1424">
        <v>294</v>
      </c>
      <c r="D708" s="1424">
        <v>-18</v>
      </c>
      <c r="E708" s="1424">
        <v>-5.7692307692307701</v>
      </c>
      <c r="F708" s="1424">
        <v>2.7862790352309799</v>
      </c>
    </row>
    <row r="709" spans="1:6" x14ac:dyDescent="0.3">
      <c r="A709" s="1425" t="s">
        <v>591</v>
      </c>
      <c r="B709" s="1795" t="s">
        <v>592</v>
      </c>
      <c r="C709" s="1426">
        <v>96</v>
      </c>
      <c r="D709" s="1426">
        <v>-33</v>
      </c>
      <c r="E709" s="1426">
        <v>-25.581395348837201</v>
      </c>
      <c r="F709" s="1426">
        <v>0.90980539925909598</v>
      </c>
    </row>
    <row r="710" spans="1:6" x14ac:dyDescent="0.3">
      <c r="A710" s="1427" t="s">
        <v>593</v>
      </c>
      <c r="B710" s="19" t="s">
        <v>594</v>
      </c>
      <c r="C710" s="1428">
        <v>0</v>
      </c>
      <c r="D710" s="1428">
        <v>-1</v>
      </c>
      <c r="E710" s="1428">
        <v>-100</v>
      </c>
      <c r="F710" s="1428">
        <v>0</v>
      </c>
    </row>
    <row r="711" spans="1:6" x14ac:dyDescent="0.3">
      <c r="A711" s="1429" t="s">
        <v>595</v>
      </c>
      <c r="B711" s="19" t="s">
        <v>596</v>
      </c>
      <c r="C711" s="1430">
        <v>0</v>
      </c>
      <c r="D711" s="1430">
        <v>-2</v>
      </c>
      <c r="E711" s="1430">
        <v>-100</v>
      </c>
      <c r="F711" s="1430">
        <v>0</v>
      </c>
    </row>
    <row r="712" spans="1:6" x14ac:dyDescent="0.3">
      <c r="A712" s="1431" t="s">
        <v>597</v>
      </c>
      <c r="B712" s="19" t="s">
        <v>598</v>
      </c>
      <c r="C712" s="1432">
        <v>914</v>
      </c>
      <c r="D712" s="1432">
        <v>137</v>
      </c>
      <c r="E712" s="1432">
        <v>17.631917631917599</v>
      </c>
      <c r="F712" s="1432">
        <v>8.6621055721126492</v>
      </c>
    </row>
    <row r="713" spans="1:6" x14ac:dyDescent="0.3">
      <c r="A713" s="1433" t="s">
        <v>599</v>
      </c>
      <c r="B713" s="1795" t="s">
        <v>600</v>
      </c>
      <c r="C713" s="1434">
        <v>875</v>
      </c>
      <c r="D713" s="1434">
        <v>140</v>
      </c>
      <c r="E713" s="1434">
        <v>19.047619047619001</v>
      </c>
      <c r="F713" s="1434">
        <v>8.2924971286636406</v>
      </c>
    </row>
    <row r="714" spans="1:6" x14ac:dyDescent="0.3">
      <c r="A714" s="1435" t="s">
        <v>601</v>
      </c>
      <c r="B714" s="1795" t="s">
        <v>602</v>
      </c>
      <c r="C714" s="1436">
        <v>39</v>
      </c>
      <c r="D714" s="1436">
        <v>-3</v>
      </c>
      <c r="E714" s="1436">
        <v>-7.1428571428571397</v>
      </c>
      <c r="F714" s="1436">
        <v>0.36960844344900801</v>
      </c>
    </row>
    <row r="715" spans="1:6" x14ac:dyDescent="0.3">
      <c r="A715" s="1437" t="s">
        <v>603</v>
      </c>
      <c r="B715" s="19" t="s">
        <v>604</v>
      </c>
      <c r="C715" s="1438">
        <v>4</v>
      </c>
      <c r="D715" s="1438">
        <v>2</v>
      </c>
      <c r="E715" s="1438">
        <v>100</v>
      </c>
      <c r="F715" s="1438">
        <v>3.79085583024623E-2</v>
      </c>
    </row>
    <row r="716" spans="1:6" x14ac:dyDescent="0.3">
      <c r="A716" s="1439" t="s">
        <v>605</v>
      </c>
      <c r="B716" s="1794" t="s">
        <v>606</v>
      </c>
      <c r="C716" s="1440">
        <v>20630</v>
      </c>
      <c r="D716" s="1440">
        <v>1181</v>
      </c>
      <c r="E716" s="1440">
        <v>6.0722916345313402</v>
      </c>
      <c r="F716" s="1440">
        <v>195.51338944495001</v>
      </c>
    </row>
    <row r="717" spans="1:6" x14ac:dyDescent="0.3">
      <c r="A717" s="1441" t="s">
        <v>607</v>
      </c>
      <c r="B717" s="1794" t="s">
        <v>608</v>
      </c>
      <c r="C717" s="1442">
        <v>4911</v>
      </c>
      <c r="D717" s="1442">
        <v>-384</v>
      </c>
      <c r="E717" s="1442">
        <v>-7.2521246458923496</v>
      </c>
      <c r="F717" s="1442">
        <v>46.542232455848101</v>
      </c>
    </row>
    <row r="718" spans="1:6" x14ac:dyDescent="0.3">
      <c r="A718" s="1443" t="s">
        <v>609</v>
      </c>
      <c r="B718" s="1795" t="s">
        <v>610</v>
      </c>
      <c r="C718" s="1444">
        <v>55</v>
      </c>
      <c r="D718" s="1444">
        <v>5</v>
      </c>
      <c r="E718" s="1444">
        <v>10</v>
      </c>
      <c r="F718" s="1444">
        <v>0.52124267665885704</v>
      </c>
    </row>
    <row r="719" spans="1:6" x14ac:dyDescent="0.3">
      <c r="A719" s="1445" t="s">
        <v>611</v>
      </c>
      <c r="B719" s="1795" t="s">
        <v>612</v>
      </c>
      <c r="C719" s="1446">
        <v>1204</v>
      </c>
      <c r="D719" s="1446">
        <v>-133</v>
      </c>
      <c r="E719" s="1446">
        <v>-9.9476439790575899</v>
      </c>
      <c r="F719" s="1446">
        <v>11.4104760490412</v>
      </c>
    </row>
    <row r="720" spans="1:6" x14ac:dyDescent="0.3">
      <c r="A720" s="1447" t="s">
        <v>613</v>
      </c>
      <c r="B720" s="1795" t="s">
        <v>614</v>
      </c>
      <c r="C720" s="1448">
        <v>897</v>
      </c>
      <c r="D720" s="1448">
        <v>1</v>
      </c>
      <c r="E720" s="1448">
        <v>0.111607142857143</v>
      </c>
      <c r="F720" s="1448">
        <v>8.5009941993271791</v>
      </c>
    </row>
    <row r="721" spans="1:6" x14ac:dyDescent="0.3">
      <c r="A721" s="1449" t="s">
        <v>615</v>
      </c>
      <c r="B721" s="1795" t="s">
        <v>616</v>
      </c>
      <c r="C721" s="1450">
        <v>1007</v>
      </c>
      <c r="D721" s="1450">
        <v>28</v>
      </c>
      <c r="E721" s="1450">
        <v>2.8600612870275799</v>
      </c>
      <c r="F721" s="1450">
        <v>9.5434795526448895</v>
      </c>
    </row>
    <row r="722" spans="1:6" x14ac:dyDescent="0.3">
      <c r="A722" s="1451" t="s">
        <v>617</v>
      </c>
      <c r="B722" s="1795" t="s">
        <v>618</v>
      </c>
      <c r="C722" s="1452">
        <v>1693</v>
      </c>
      <c r="D722" s="1452">
        <v>-280</v>
      </c>
      <c r="E722" s="1452">
        <v>-14.1915864166244</v>
      </c>
      <c r="F722" s="1452">
        <v>16.0447973015172</v>
      </c>
    </row>
    <row r="723" spans="1:6" x14ac:dyDescent="0.3">
      <c r="A723" s="1453" t="s">
        <v>617</v>
      </c>
      <c r="B723" s="1795" t="s">
        <v>619</v>
      </c>
      <c r="C723" s="1454">
        <v>105</v>
      </c>
      <c r="D723" s="1454">
        <v>-15</v>
      </c>
      <c r="E723" s="1454">
        <v>-12.5</v>
      </c>
      <c r="F723" s="1454">
        <v>0.99509965543963597</v>
      </c>
    </row>
    <row r="724" spans="1:6" x14ac:dyDescent="0.3">
      <c r="A724" s="1455" t="s">
        <v>617</v>
      </c>
      <c r="B724" s="1795" t="s">
        <v>620</v>
      </c>
      <c r="C724" s="1456">
        <v>1588</v>
      </c>
      <c r="D724" s="1456">
        <v>-265</v>
      </c>
      <c r="E724" s="1456">
        <v>-14.3011332973556</v>
      </c>
      <c r="F724" s="1456">
        <v>15.049697646077499</v>
      </c>
    </row>
    <row r="725" spans="1:6" x14ac:dyDescent="0.3">
      <c r="A725" s="1457" t="s">
        <v>621</v>
      </c>
      <c r="B725" s="1795" t="s">
        <v>622</v>
      </c>
      <c r="C725" s="1458">
        <v>55</v>
      </c>
      <c r="D725" s="1458">
        <v>-5</v>
      </c>
      <c r="E725" s="1458">
        <v>-8.3333333333333304</v>
      </c>
      <c r="F725" s="1458">
        <v>0.52124267665885704</v>
      </c>
    </row>
    <row r="726" spans="1:6" x14ac:dyDescent="0.3">
      <c r="A726" s="1459" t="s">
        <v>623</v>
      </c>
      <c r="B726" s="1794" t="s">
        <v>624</v>
      </c>
      <c r="C726" s="1460">
        <v>8720</v>
      </c>
      <c r="D726" s="1460">
        <v>435</v>
      </c>
      <c r="E726" s="1460">
        <v>5.25045262522631</v>
      </c>
      <c r="F726" s="1460">
        <v>82.6406570993679</v>
      </c>
    </row>
    <row r="727" spans="1:6" x14ac:dyDescent="0.3">
      <c r="A727" s="1461" t="s">
        <v>625</v>
      </c>
      <c r="B727" s="1795" t="s">
        <v>626</v>
      </c>
      <c r="C727" s="1462">
        <v>447</v>
      </c>
      <c r="D727" s="1462">
        <v>-127</v>
      </c>
      <c r="E727" s="1462">
        <v>-22.125435540069699</v>
      </c>
      <c r="F727" s="1462">
        <v>4.2362813903001699</v>
      </c>
    </row>
    <row r="728" spans="1:6" x14ac:dyDescent="0.3">
      <c r="A728" s="1463" t="s">
        <v>627</v>
      </c>
      <c r="B728" s="1795" t="s">
        <v>628</v>
      </c>
      <c r="C728" s="1464">
        <v>4908</v>
      </c>
      <c r="D728" s="1464">
        <v>585</v>
      </c>
      <c r="E728" s="1464">
        <v>13.532269257460101</v>
      </c>
      <c r="F728" s="1464">
        <v>46.513801037121297</v>
      </c>
    </row>
    <row r="729" spans="1:6" x14ac:dyDescent="0.3">
      <c r="A729" s="1465" t="s">
        <v>627</v>
      </c>
      <c r="B729" s="1795" t="s">
        <v>629</v>
      </c>
      <c r="C729" s="1466">
        <v>3343</v>
      </c>
      <c r="D729" s="1466">
        <v>-23</v>
      </c>
      <c r="E729" s="1466">
        <v>-0.68330362448009496</v>
      </c>
      <c r="F729" s="1466">
        <v>31.682077601282899</v>
      </c>
    </row>
    <row r="730" spans="1:6" x14ac:dyDescent="0.3">
      <c r="A730" s="1467" t="s">
        <v>627</v>
      </c>
      <c r="B730" s="1795" t="s">
        <v>630</v>
      </c>
      <c r="C730" s="1468">
        <v>22</v>
      </c>
      <c r="D730" s="1468">
        <v>0</v>
      </c>
      <c r="E730" s="1468">
        <v>0</v>
      </c>
      <c r="F730" s="1468">
        <v>0.208497070663543</v>
      </c>
    </row>
    <row r="731" spans="1:6" x14ac:dyDescent="0.3">
      <c r="A731" s="1469" t="s">
        <v>631</v>
      </c>
      <c r="B731" s="1794" t="s">
        <v>632</v>
      </c>
      <c r="C731" s="1470">
        <v>393</v>
      </c>
      <c r="D731" s="1470">
        <v>72</v>
      </c>
      <c r="E731" s="1470">
        <v>22.429906542056099</v>
      </c>
      <c r="F731" s="1470">
        <v>3.72451585321692</v>
      </c>
    </row>
    <row r="732" spans="1:6" x14ac:dyDescent="0.3">
      <c r="A732" s="1471" t="s">
        <v>633</v>
      </c>
      <c r="B732" s="1795" t="s">
        <v>634</v>
      </c>
      <c r="C732" s="1472">
        <v>85</v>
      </c>
      <c r="D732" s="1472">
        <v>19</v>
      </c>
      <c r="E732" s="1472">
        <v>28.7878787878788</v>
      </c>
      <c r="F732" s="1472">
        <v>0.80555686392732495</v>
      </c>
    </row>
    <row r="733" spans="1:6" x14ac:dyDescent="0.3">
      <c r="A733" s="1473" t="s">
        <v>635</v>
      </c>
      <c r="B733" s="1795" t="s">
        <v>636</v>
      </c>
      <c r="C733" s="1474">
        <v>31</v>
      </c>
      <c r="D733" s="1474">
        <v>-6</v>
      </c>
      <c r="E733" s="1474">
        <v>-16.2162162162162</v>
      </c>
      <c r="F733" s="1474">
        <v>0.29379132684408299</v>
      </c>
    </row>
    <row r="734" spans="1:6" x14ac:dyDescent="0.3">
      <c r="A734" s="1475" t="s">
        <v>637</v>
      </c>
      <c r="B734" s="1795" t="s">
        <v>638</v>
      </c>
      <c r="C734" s="1476">
        <v>2</v>
      </c>
      <c r="D734" s="1476">
        <v>-6</v>
      </c>
      <c r="E734" s="1476">
        <v>-75</v>
      </c>
      <c r="F734" s="1476">
        <v>1.8954279151231199E-2</v>
      </c>
    </row>
    <row r="735" spans="1:6" x14ac:dyDescent="0.3">
      <c r="A735" s="1477" t="s">
        <v>639</v>
      </c>
      <c r="B735" s="1795" t="s">
        <v>640</v>
      </c>
      <c r="C735" s="1478">
        <v>1</v>
      </c>
      <c r="D735" s="1478">
        <v>1</v>
      </c>
      <c r="E735" s="1478" t="s">
        <v>38</v>
      </c>
      <c r="F735" s="1478">
        <v>9.4771395756155907E-3</v>
      </c>
    </row>
    <row r="736" spans="1:6" x14ac:dyDescent="0.3">
      <c r="A736" s="1479" t="s">
        <v>641</v>
      </c>
      <c r="B736" s="1795" t="s">
        <v>642</v>
      </c>
      <c r="C736" s="1480">
        <v>34</v>
      </c>
      <c r="D736" s="1480">
        <v>-4</v>
      </c>
      <c r="E736" s="1480">
        <v>-10.526315789473699</v>
      </c>
      <c r="F736" s="1480">
        <v>0.32222274557093</v>
      </c>
    </row>
    <row r="737" spans="1:6" x14ac:dyDescent="0.3">
      <c r="A737" s="1481" t="s">
        <v>643</v>
      </c>
      <c r="B737" s="1795" t="s">
        <v>644</v>
      </c>
      <c r="C737" s="1482">
        <v>87</v>
      </c>
      <c r="D737" s="1482">
        <v>7</v>
      </c>
      <c r="E737" s="1482">
        <v>8.75</v>
      </c>
      <c r="F737" s="1482">
        <v>0.824511143078556</v>
      </c>
    </row>
    <row r="738" spans="1:6" x14ac:dyDescent="0.3">
      <c r="A738" s="1483" t="s">
        <v>645</v>
      </c>
      <c r="B738" s="1795" t="s">
        <v>646</v>
      </c>
      <c r="C738" s="1484">
        <v>15</v>
      </c>
      <c r="D738" s="1484">
        <v>9</v>
      </c>
      <c r="E738" s="1484">
        <v>150</v>
      </c>
      <c r="F738" s="1484">
        <v>0.14215709363423401</v>
      </c>
    </row>
    <row r="739" spans="1:6" x14ac:dyDescent="0.3">
      <c r="A739" s="1485" t="s">
        <v>647</v>
      </c>
      <c r="B739" s="1795" t="s">
        <v>648</v>
      </c>
      <c r="C739" s="1486">
        <v>7</v>
      </c>
      <c r="D739" s="1486">
        <v>1</v>
      </c>
      <c r="E739" s="1486">
        <v>16.6666666666667</v>
      </c>
      <c r="F739" s="1486">
        <v>6.6339977029309105E-2</v>
      </c>
    </row>
    <row r="740" spans="1:6" x14ac:dyDescent="0.3">
      <c r="A740" s="1487" t="s">
        <v>649</v>
      </c>
      <c r="B740" s="1795" t="s">
        <v>650</v>
      </c>
      <c r="C740" s="1488">
        <v>9</v>
      </c>
      <c r="D740" s="1488">
        <v>2</v>
      </c>
      <c r="E740" s="1488">
        <v>28.571428571428601</v>
      </c>
      <c r="F740" s="1488">
        <v>8.5294256180540304E-2</v>
      </c>
    </row>
    <row r="741" spans="1:6" x14ac:dyDescent="0.3">
      <c r="A741" s="1489" t="s">
        <v>651</v>
      </c>
      <c r="B741" s="1795" t="s">
        <v>652</v>
      </c>
      <c r="C741" s="1490">
        <v>118</v>
      </c>
      <c r="D741" s="1490">
        <v>49</v>
      </c>
      <c r="E741" s="1490">
        <v>71.014492753623202</v>
      </c>
      <c r="F741" s="1490">
        <v>1.11830246992264</v>
      </c>
    </row>
    <row r="742" spans="1:6" x14ac:dyDescent="0.3">
      <c r="A742" s="1491" t="s">
        <v>653</v>
      </c>
      <c r="B742" s="1795" t="s">
        <v>654</v>
      </c>
      <c r="C742" s="1492">
        <v>4</v>
      </c>
      <c r="D742" s="1492">
        <v>0</v>
      </c>
      <c r="E742" s="1492">
        <v>0</v>
      </c>
      <c r="F742" s="1492">
        <v>3.79085583024623E-2</v>
      </c>
    </row>
    <row r="743" spans="1:6" x14ac:dyDescent="0.3">
      <c r="A743" s="1493" t="s">
        <v>655</v>
      </c>
      <c r="B743" s="1794" t="s">
        <v>656</v>
      </c>
      <c r="C743" s="1494">
        <v>1247</v>
      </c>
      <c r="D743" s="1494">
        <v>787</v>
      </c>
      <c r="E743" s="1494">
        <v>171.08695652173901</v>
      </c>
      <c r="F743" s="1494">
        <v>11.8179930507926</v>
      </c>
    </row>
    <row r="744" spans="1:6" x14ac:dyDescent="0.3">
      <c r="A744" s="1495" t="s">
        <v>657</v>
      </c>
      <c r="B744" s="1795" t="s">
        <v>658</v>
      </c>
      <c r="C744" s="1496">
        <v>766</v>
      </c>
      <c r="D744" s="1496">
        <v>590</v>
      </c>
      <c r="E744" s="1496">
        <v>335.22727272727298</v>
      </c>
      <c r="F744" s="1496">
        <v>7.2594889149215396</v>
      </c>
    </row>
    <row r="745" spans="1:6" x14ac:dyDescent="0.3">
      <c r="A745" s="1497" t="s">
        <v>659</v>
      </c>
      <c r="B745" s="1795" t="s">
        <v>660</v>
      </c>
      <c r="C745" s="1498">
        <v>305</v>
      </c>
      <c r="D745" s="1498">
        <v>199</v>
      </c>
      <c r="E745" s="1498">
        <v>187.735849056604</v>
      </c>
      <c r="F745" s="1498">
        <v>2.89052757056275</v>
      </c>
    </row>
    <row r="746" spans="1:6" x14ac:dyDescent="0.3">
      <c r="A746" s="1499" t="s">
        <v>661</v>
      </c>
      <c r="B746" s="1795" t="s">
        <v>662</v>
      </c>
      <c r="C746" s="1500">
        <v>0</v>
      </c>
      <c r="D746" s="1500">
        <v>-1</v>
      </c>
      <c r="E746" s="1500">
        <v>-100</v>
      </c>
      <c r="F746" s="1500">
        <v>0</v>
      </c>
    </row>
    <row r="747" spans="1:6" x14ac:dyDescent="0.3">
      <c r="A747" s="1501" t="s">
        <v>663</v>
      </c>
      <c r="B747" s="1795" t="s">
        <v>664</v>
      </c>
      <c r="C747" s="1502">
        <v>11</v>
      </c>
      <c r="D747" s="1502">
        <v>-5</v>
      </c>
      <c r="E747" s="1502">
        <v>-31.25</v>
      </c>
      <c r="F747" s="1502">
        <v>0.104248535331771</v>
      </c>
    </row>
    <row r="748" spans="1:6" x14ac:dyDescent="0.3">
      <c r="A748" s="1503" t="s">
        <v>665</v>
      </c>
      <c r="B748" s="1795" t="s">
        <v>666</v>
      </c>
      <c r="C748" s="1504">
        <v>4</v>
      </c>
      <c r="D748" s="1504">
        <v>-6</v>
      </c>
      <c r="E748" s="1504">
        <v>-60</v>
      </c>
      <c r="F748" s="1504">
        <v>3.79085583024623E-2</v>
      </c>
    </row>
    <row r="749" spans="1:6" x14ac:dyDescent="0.3">
      <c r="A749" s="1505" t="s">
        <v>667</v>
      </c>
      <c r="B749" s="1795" t="s">
        <v>668</v>
      </c>
      <c r="C749" s="1506">
        <v>161</v>
      </c>
      <c r="D749" s="1506">
        <v>10</v>
      </c>
      <c r="E749" s="1506">
        <v>6.6225165562913899</v>
      </c>
      <c r="F749" s="1506">
        <v>1.52581947167411</v>
      </c>
    </row>
    <row r="750" spans="1:6" x14ac:dyDescent="0.3">
      <c r="A750" s="1507" t="s">
        <v>669</v>
      </c>
      <c r="B750" s="1794" t="s">
        <v>670</v>
      </c>
      <c r="C750" s="1508">
        <v>8</v>
      </c>
      <c r="D750" s="1508">
        <v>0</v>
      </c>
      <c r="E750" s="1508">
        <v>0</v>
      </c>
      <c r="F750" s="1508">
        <v>7.5817116604924698E-2</v>
      </c>
    </row>
    <row r="751" spans="1:6" x14ac:dyDescent="0.3">
      <c r="A751" s="1509" t="s">
        <v>671</v>
      </c>
      <c r="B751" s="1794" t="s">
        <v>672</v>
      </c>
      <c r="C751" s="1510">
        <v>25</v>
      </c>
      <c r="D751" s="1510">
        <v>-16</v>
      </c>
      <c r="E751" s="1510">
        <v>-39.024390243902403</v>
      </c>
      <c r="F751" s="1510">
        <v>0.23692848939038999</v>
      </c>
    </row>
    <row r="752" spans="1:6" x14ac:dyDescent="0.3">
      <c r="A752" s="1511" t="s">
        <v>673</v>
      </c>
      <c r="B752" s="1795" t="s">
        <v>674</v>
      </c>
      <c r="C752" s="1512">
        <v>1</v>
      </c>
      <c r="D752" s="1512">
        <v>-4</v>
      </c>
      <c r="E752" s="1512">
        <v>-80</v>
      </c>
      <c r="F752" s="1512">
        <v>9.4771395756155907E-3</v>
      </c>
    </row>
    <row r="753" spans="1:6" x14ac:dyDescent="0.3">
      <c r="A753" s="1513" t="s">
        <v>675</v>
      </c>
      <c r="B753" s="1795" t="s">
        <v>676</v>
      </c>
      <c r="C753" s="1514">
        <v>9</v>
      </c>
      <c r="D753" s="1514">
        <v>-9</v>
      </c>
      <c r="E753" s="1514">
        <v>-50</v>
      </c>
      <c r="F753" s="1514">
        <v>8.5294256180540304E-2</v>
      </c>
    </row>
    <row r="754" spans="1:6" x14ac:dyDescent="0.3">
      <c r="A754" s="1515" t="s">
        <v>677</v>
      </c>
      <c r="B754" s="1795" t="s">
        <v>678</v>
      </c>
      <c r="C754" s="1516">
        <v>15</v>
      </c>
      <c r="D754" s="1516">
        <v>-3</v>
      </c>
      <c r="E754" s="1516">
        <v>-16.6666666666667</v>
      </c>
      <c r="F754" s="1516">
        <v>0.14215709363423401</v>
      </c>
    </row>
    <row r="755" spans="1:6" x14ac:dyDescent="0.3">
      <c r="A755" s="1517" t="s">
        <v>679</v>
      </c>
      <c r="B755" s="1795" t="s">
        <v>680</v>
      </c>
      <c r="C755" s="1518">
        <v>0</v>
      </c>
      <c r="D755" s="1518">
        <v>0</v>
      </c>
      <c r="E755" s="1518" t="s">
        <v>38</v>
      </c>
      <c r="F755" s="1518">
        <v>0</v>
      </c>
    </row>
    <row r="756" spans="1:6" x14ac:dyDescent="0.3">
      <c r="A756" s="1519" t="s">
        <v>681</v>
      </c>
      <c r="B756" s="1794" t="s">
        <v>682</v>
      </c>
      <c r="C756" s="1520">
        <v>22</v>
      </c>
      <c r="D756" s="1520">
        <v>4</v>
      </c>
      <c r="E756" s="1520">
        <v>22.2222222222222</v>
      </c>
      <c r="F756" s="1520">
        <v>0.208497070663543</v>
      </c>
    </row>
    <row r="757" spans="1:6" x14ac:dyDescent="0.3">
      <c r="A757" s="1521" t="s">
        <v>683</v>
      </c>
      <c r="B757" s="1795" t="s">
        <v>684</v>
      </c>
      <c r="C757" s="1522">
        <v>20</v>
      </c>
      <c r="D757" s="1522">
        <v>4</v>
      </c>
      <c r="E757" s="1522">
        <v>25</v>
      </c>
      <c r="F757" s="1522">
        <v>0.18954279151231199</v>
      </c>
    </row>
    <row r="758" spans="1:6" x14ac:dyDescent="0.3">
      <c r="A758" s="1523" t="s">
        <v>685</v>
      </c>
      <c r="B758" s="1795" t="s">
        <v>686</v>
      </c>
      <c r="C758" s="1524">
        <v>0</v>
      </c>
      <c r="D758" s="1524">
        <v>0</v>
      </c>
      <c r="E758" s="1524" t="s">
        <v>38</v>
      </c>
      <c r="F758" s="1524">
        <v>0</v>
      </c>
    </row>
    <row r="759" spans="1:6" x14ac:dyDescent="0.3">
      <c r="A759" s="1525" t="s">
        <v>687</v>
      </c>
      <c r="B759" s="1795" t="s">
        <v>688</v>
      </c>
      <c r="C759" s="1526">
        <v>2</v>
      </c>
      <c r="D759" s="1526">
        <v>0</v>
      </c>
      <c r="E759" s="1526">
        <v>0</v>
      </c>
      <c r="F759" s="1526">
        <v>1.8954279151231199E-2</v>
      </c>
    </row>
    <row r="760" spans="1:6" x14ac:dyDescent="0.3">
      <c r="A760" s="1527" t="s">
        <v>689</v>
      </c>
      <c r="B760" s="1794" t="s">
        <v>690</v>
      </c>
      <c r="C760" s="1528">
        <v>829</v>
      </c>
      <c r="D760" s="1528">
        <v>67</v>
      </c>
      <c r="E760" s="1528">
        <v>8.7926509186351698</v>
      </c>
      <c r="F760" s="1528">
        <v>7.8565487081853203</v>
      </c>
    </row>
    <row r="761" spans="1:6" x14ac:dyDescent="0.3">
      <c r="A761" s="1529" t="s">
        <v>691</v>
      </c>
      <c r="B761" s="1795" t="s">
        <v>692</v>
      </c>
      <c r="C761" s="1530">
        <v>687</v>
      </c>
      <c r="D761" s="1530">
        <v>54</v>
      </c>
      <c r="E761" s="1530">
        <v>8.5308056872037898</v>
      </c>
      <c r="F761" s="1530">
        <v>6.5107948884479097</v>
      </c>
    </row>
    <row r="762" spans="1:6" x14ac:dyDescent="0.3">
      <c r="A762" s="1531" t="s">
        <v>693</v>
      </c>
      <c r="B762" s="1795" t="s">
        <v>694</v>
      </c>
      <c r="C762" s="1532">
        <v>48</v>
      </c>
      <c r="D762" s="1532">
        <v>5</v>
      </c>
      <c r="E762" s="1532">
        <v>11.6279069767442</v>
      </c>
      <c r="F762" s="1532">
        <v>0.45490269962954799</v>
      </c>
    </row>
    <row r="763" spans="1:6" x14ac:dyDescent="0.3">
      <c r="A763" s="1533" t="s">
        <v>695</v>
      </c>
      <c r="B763" s="1795" t="s">
        <v>696</v>
      </c>
      <c r="C763" s="1534">
        <v>8</v>
      </c>
      <c r="D763" s="1534">
        <v>-3</v>
      </c>
      <c r="E763" s="1534">
        <v>-27.272727272727298</v>
      </c>
      <c r="F763" s="1534">
        <v>7.5817116604924698E-2</v>
      </c>
    </row>
    <row r="764" spans="1:6" x14ac:dyDescent="0.3">
      <c r="A764" s="1535" t="s">
        <v>697</v>
      </c>
      <c r="B764" s="1795" t="s">
        <v>698</v>
      </c>
      <c r="C764" s="1536">
        <v>86</v>
      </c>
      <c r="D764" s="1536">
        <v>11</v>
      </c>
      <c r="E764" s="1536">
        <v>14.6666666666667</v>
      </c>
      <c r="F764" s="1536">
        <v>0.81503400350293997</v>
      </c>
    </row>
    <row r="765" spans="1:6" x14ac:dyDescent="0.3">
      <c r="A765" s="1537" t="s">
        <v>699</v>
      </c>
      <c r="B765" s="1794" t="s">
        <v>700</v>
      </c>
      <c r="C765" s="1538">
        <v>1024</v>
      </c>
      <c r="D765" s="1538">
        <v>68</v>
      </c>
      <c r="E765" s="1538">
        <v>7.1129707112970699</v>
      </c>
      <c r="F765" s="1538">
        <v>9.7045909254303595</v>
      </c>
    </row>
    <row r="766" spans="1:6" x14ac:dyDescent="0.3">
      <c r="A766" s="1539" t="s">
        <v>701</v>
      </c>
      <c r="B766" s="1795" t="s">
        <v>702</v>
      </c>
      <c r="C766" s="1540">
        <v>592</v>
      </c>
      <c r="D766" s="1540">
        <v>-62</v>
      </c>
      <c r="E766" s="1540">
        <v>-9.4801223241590193</v>
      </c>
      <c r="F766" s="1540">
        <v>5.6104666287644296</v>
      </c>
    </row>
    <row r="767" spans="1:6" x14ac:dyDescent="0.3">
      <c r="A767" s="1541" t="s">
        <v>701</v>
      </c>
      <c r="B767" s="1795" t="s">
        <v>703</v>
      </c>
      <c r="C767" s="1542">
        <v>52</v>
      </c>
      <c r="D767" s="1542">
        <v>-27</v>
      </c>
      <c r="E767" s="1542">
        <v>-34.177215189873401</v>
      </c>
      <c r="F767" s="1542">
        <v>0.49281125793201003</v>
      </c>
    </row>
    <row r="768" spans="1:6" x14ac:dyDescent="0.3">
      <c r="A768" s="1543" t="s">
        <v>701</v>
      </c>
      <c r="B768" s="1795" t="s">
        <v>704</v>
      </c>
      <c r="C768" s="1544">
        <v>216</v>
      </c>
      <c r="D768" s="1544">
        <v>65</v>
      </c>
      <c r="E768" s="1544">
        <v>43.046357615894003</v>
      </c>
      <c r="F768" s="1544">
        <v>2.0470621483329698</v>
      </c>
    </row>
    <row r="769" spans="1:6" x14ac:dyDescent="0.3">
      <c r="A769" s="1545" t="s">
        <v>701</v>
      </c>
      <c r="B769" s="1795" t="s">
        <v>705</v>
      </c>
      <c r="C769" s="1546">
        <v>164</v>
      </c>
      <c r="D769" s="1546">
        <v>92</v>
      </c>
      <c r="E769" s="1546">
        <v>127.777777777778</v>
      </c>
      <c r="F769" s="1546">
        <v>1.55425089040096</v>
      </c>
    </row>
    <row r="770" spans="1:6" x14ac:dyDescent="0.3">
      <c r="A770" s="1547" t="s">
        <v>706</v>
      </c>
      <c r="B770" s="1794" t="s">
        <v>707</v>
      </c>
      <c r="C770" s="1548">
        <v>410</v>
      </c>
      <c r="D770" s="1548" t="s">
        <v>38</v>
      </c>
      <c r="E770" s="1548" t="s">
        <v>38</v>
      </c>
      <c r="F770" s="1548">
        <v>3.8856272260023901</v>
      </c>
    </row>
    <row r="771" spans="1:6" x14ac:dyDescent="0.3">
      <c r="A771" s="1549" t="s">
        <v>708</v>
      </c>
      <c r="B771" s="1795" t="s">
        <v>709</v>
      </c>
      <c r="C771" s="1550">
        <v>104</v>
      </c>
      <c r="D771" s="1550" t="s">
        <v>38</v>
      </c>
      <c r="E771" s="1550" t="s">
        <v>38</v>
      </c>
      <c r="F771" s="1550">
        <v>0.98562251586402105</v>
      </c>
    </row>
    <row r="772" spans="1:6" x14ac:dyDescent="0.3">
      <c r="A772" s="1551" t="s">
        <v>710</v>
      </c>
      <c r="B772" s="1795" t="s">
        <v>711</v>
      </c>
      <c r="C772" s="1552">
        <v>248</v>
      </c>
      <c r="D772" s="1552" t="s">
        <v>38</v>
      </c>
      <c r="E772" s="1552" t="s">
        <v>38</v>
      </c>
      <c r="F772" s="1552">
        <v>2.3503306147526701</v>
      </c>
    </row>
    <row r="773" spans="1:6" x14ac:dyDescent="0.3">
      <c r="A773" s="1553" t="s">
        <v>712</v>
      </c>
      <c r="B773" s="1795" t="s">
        <v>713</v>
      </c>
      <c r="C773" s="1554">
        <v>18</v>
      </c>
      <c r="D773" s="1554" t="s">
        <v>38</v>
      </c>
      <c r="E773" s="1554" t="s">
        <v>38</v>
      </c>
      <c r="F773" s="1554">
        <v>0.170588512361081</v>
      </c>
    </row>
    <row r="774" spans="1:6" x14ac:dyDescent="0.3">
      <c r="A774" s="1555" t="s">
        <v>712</v>
      </c>
      <c r="B774" s="1795" t="s">
        <v>714</v>
      </c>
      <c r="C774" s="1556">
        <v>17</v>
      </c>
      <c r="D774" s="1556" t="s">
        <v>38</v>
      </c>
      <c r="E774" s="1556" t="s">
        <v>38</v>
      </c>
      <c r="F774" s="1556">
        <v>0.161111372785465</v>
      </c>
    </row>
    <row r="775" spans="1:6" x14ac:dyDescent="0.3">
      <c r="A775" s="1557" t="s">
        <v>712</v>
      </c>
      <c r="B775" s="1795" t="s">
        <v>715</v>
      </c>
      <c r="C775" s="1558">
        <v>0</v>
      </c>
      <c r="D775" s="1558" t="s">
        <v>38</v>
      </c>
      <c r="E775" s="1558" t="s">
        <v>38</v>
      </c>
      <c r="F775" s="1558">
        <v>0</v>
      </c>
    </row>
    <row r="776" spans="1:6" x14ac:dyDescent="0.3">
      <c r="A776" s="1559" t="s">
        <v>712</v>
      </c>
      <c r="B776" s="1795" t="s">
        <v>716</v>
      </c>
      <c r="C776" s="1560">
        <v>0</v>
      </c>
      <c r="D776" s="1560" t="s">
        <v>38</v>
      </c>
      <c r="E776" s="1560" t="s">
        <v>38</v>
      </c>
      <c r="F776" s="1560">
        <v>0</v>
      </c>
    </row>
    <row r="777" spans="1:6" x14ac:dyDescent="0.3">
      <c r="A777" s="1561" t="s">
        <v>712</v>
      </c>
      <c r="B777" s="1795" t="s">
        <v>717</v>
      </c>
      <c r="C777" s="1562">
        <v>1</v>
      </c>
      <c r="D777" s="1562" t="s">
        <v>38</v>
      </c>
      <c r="E777" s="1562" t="s">
        <v>38</v>
      </c>
      <c r="F777" s="1562">
        <v>9.4771395756155907E-3</v>
      </c>
    </row>
    <row r="778" spans="1:6" x14ac:dyDescent="0.3">
      <c r="A778" s="1563" t="s">
        <v>718</v>
      </c>
      <c r="B778" s="1795" t="s">
        <v>719</v>
      </c>
      <c r="C778" s="1564">
        <v>7</v>
      </c>
      <c r="D778" s="1564" t="s">
        <v>38</v>
      </c>
      <c r="E778" s="1564" t="s">
        <v>38</v>
      </c>
      <c r="F778" s="1564">
        <v>6.6339977029309105E-2</v>
      </c>
    </row>
    <row r="779" spans="1:6" x14ac:dyDescent="0.3">
      <c r="A779" s="1565" t="s">
        <v>720</v>
      </c>
      <c r="B779" s="1795" t="s">
        <v>721</v>
      </c>
      <c r="C779" s="1566">
        <v>24</v>
      </c>
      <c r="D779" s="1566" t="s">
        <v>38</v>
      </c>
      <c r="E779" s="1566" t="s">
        <v>38</v>
      </c>
      <c r="F779" s="1566">
        <v>0.227451349814774</v>
      </c>
    </row>
    <row r="780" spans="1:6" x14ac:dyDescent="0.3">
      <c r="A780" s="1567" t="s">
        <v>722</v>
      </c>
      <c r="B780" s="1795" t="s">
        <v>723</v>
      </c>
      <c r="C780" s="1568">
        <v>9</v>
      </c>
      <c r="D780" s="1568" t="s">
        <v>38</v>
      </c>
      <c r="E780" s="1568" t="s">
        <v>38</v>
      </c>
      <c r="F780" s="1568">
        <v>8.5294256180540304E-2</v>
      </c>
    </row>
    <row r="781" spans="1:6" ht="21.6" x14ac:dyDescent="0.3">
      <c r="A781" s="1569" t="s">
        <v>724</v>
      </c>
      <c r="B781" s="1794" t="s">
        <v>725</v>
      </c>
      <c r="C781" s="1570">
        <v>14</v>
      </c>
      <c r="D781" s="1570">
        <v>10</v>
      </c>
      <c r="E781" s="1570">
        <v>250</v>
      </c>
      <c r="F781" s="1570">
        <v>0.13267995405861799</v>
      </c>
    </row>
    <row r="782" spans="1:6" x14ac:dyDescent="0.3">
      <c r="A782" s="1571" t="s">
        <v>726</v>
      </c>
      <c r="B782" s="1794" t="s">
        <v>727</v>
      </c>
      <c r="C782" s="1572">
        <v>0</v>
      </c>
      <c r="D782" s="1572">
        <v>0</v>
      </c>
      <c r="E782" s="1572" t="s">
        <v>38</v>
      </c>
      <c r="F782" s="1572">
        <v>0</v>
      </c>
    </row>
    <row r="783" spans="1:6" x14ac:dyDescent="0.3">
      <c r="A783" s="1573" t="s">
        <v>728</v>
      </c>
      <c r="B783" s="1794" t="s">
        <v>729</v>
      </c>
      <c r="C783" s="1574">
        <v>61</v>
      </c>
      <c r="D783" s="1574">
        <v>5</v>
      </c>
      <c r="E783" s="1574">
        <v>8.9285714285714306</v>
      </c>
      <c r="F783" s="1574">
        <v>0.57810551411255096</v>
      </c>
    </row>
    <row r="784" spans="1:6" x14ac:dyDescent="0.3">
      <c r="A784" s="1575" t="s">
        <v>730</v>
      </c>
      <c r="B784" s="1795" t="s">
        <v>731</v>
      </c>
      <c r="C784" s="1576">
        <v>1</v>
      </c>
      <c r="D784" s="1576">
        <v>0</v>
      </c>
      <c r="E784" s="1576">
        <v>0</v>
      </c>
      <c r="F784" s="1576">
        <v>9.4771395756155907E-3</v>
      </c>
    </row>
    <row r="785" spans="1:6" ht="21.6" x14ac:dyDescent="0.3">
      <c r="A785" s="1577" t="s">
        <v>732</v>
      </c>
      <c r="B785" s="1795" t="s">
        <v>733</v>
      </c>
      <c r="C785" s="1578">
        <v>5</v>
      </c>
      <c r="D785" s="1578">
        <v>-3</v>
      </c>
      <c r="E785" s="1578">
        <v>-37.5</v>
      </c>
      <c r="F785" s="1578">
        <v>4.73856978780779E-2</v>
      </c>
    </row>
    <row r="786" spans="1:6" x14ac:dyDescent="0.3">
      <c r="A786" s="1579" t="s">
        <v>734</v>
      </c>
      <c r="B786" s="1795" t="s">
        <v>735</v>
      </c>
      <c r="C786" s="1580">
        <v>21</v>
      </c>
      <c r="D786" s="1580">
        <v>4</v>
      </c>
      <c r="E786" s="1580">
        <v>23.529411764705898</v>
      </c>
      <c r="F786" s="1580">
        <v>0.19901993108792701</v>
      </c>
    </row>
    <row r="787" spans="1:6" x14ac:dyDescent="0.3">
      <c r="A787" s="1581" t="s">
        <v>736</v>
      </c>
      <c r="B787" s="1795" t="s">
        <v>737</v>
      </c>
      <c r="C787" s="1582">
        <v>0</v>
      </c>
      <c r="D787" s="1582">
        <v>0</v>
      </c>
      <c r="E787" s="1582" t="s">
        <v>38</v>
      </c>
      <c r="F787" s="1582">
        <v>0</v>
      </c>
    </row>
    <row r="788" spans="1:6" x14ac:dyDescent="0.3">
      <c r="A788" s="1583" t="s">
        <v>738</v>
      </c>
      <c r="B788" s="1795" t="s">
        <v>739</v>
      </c>
      <c r="C788" s="1584">
        <v>34</v>
      </c>
      <c r="D788" s="1584">
        <v>5</v>
      </c>
      <c r="E788" s="1584">
        <v>17.241379310344801</v>
      </c>
      <c r="F788" s="1584">
        <v>0.32222274557093</v>
      </c>
    </row>
    <row r="789" spans="1:6" x14ac:dyDescent="0.3">
      <c r="A789" s="1585" t="s">
        <v>740</v>
      </c>
      <c r="B789" s="1795" t="s">
        <v>741</v>
      </c>
      <c r="C789" s="1586">
        <v>0</v>
      </c>
      <c r="D789" s="1586">
        <v>-1</v>
      </c>
      <c r="E789" s="1586">
        <v>-100</v>
      </c>
      <c r="F789" s="1586">
        <v>0</v>
      </c>
    </row>
    <row r="790" spans="1:6" x14ac:dyDescent="0.3">
      <c r="A790" s="1587" t="s">
        <v>742</v>
      </c>
      <c r="B790" s="1794" t="s">
        <v>743</v>
      </c>
      <c r="C790" s="1588">
        <v>18</v>
      </c>
      <c r="D790" s="1588">
        <v>-4</v>
      </c>
      <c r="E790" s="1588">
        <v>-18.181818181818201</v>
      </c>
      <c r="F790" s="1588">
        <v>0.170588512361081</v>
      </c>
    </row>
    <row r="791" spans="1:6" x14ac:dyDescent="0.3">
      <c r="A791" s="1589" t="s">
        <v>744</v>
      </c>
      <c r="B791" s="1794" t="s">
        <v>744</v>
      </c>
      <c r="C791" s="1590">
        <v>0</v>
      </c>
      <c r="D791" s="1590">
        <v>-3</v>
      </c>
      <c r="E791" s="1590">
        <v>-100</v>
      </c>
      <c r="F791" s="1590">
        <v>0</v>
      </c>
    </row>
    <row r="792" spans="1:6" x14ac:dyDescent="0.3">
      <c r="A792" s="1591" t="s">
        <v>745</v>
      </c>
      <c r="B792" s="1794" t="s">
        <v>746</v>
      </c>
      <c r="C792" s="1592">
        <v>2</v>
      </c>
      <c r="D792" s="1592">
        <v>1</v>
      </c>
      <c r="E792" s="1592">
        <v>100</v>
      </c>
      <c r="F792" s="1592">
        <v>1.8954279151231199E-2</v>
      </c>
    </row>
    <row r="793" spans="1:6" x14ac:dyDescent="0.3">
      <c r="A793" s="1593" t="s">
        <v>747</v>
      </c>
      <c r="B793" s="1794" t="s">
        <v>748</v>
      </c>
      <c r="C793" s="1594">
        <v>112</v>
      </c>
      <c r="D793" s="1594">
        <v>63</v>
      </c>
      <c r="E793" s="1594">
        <v>128.57142857142901</v>
      </c>
      <c r="F793" s="1594">
        <v>1.0614396324689499</v>
      </c>
    </row>
    <row r="794" spans="1:6" x14ac:dyDescent="0.3">
      <c r="A794" s="1595" t="s">
        <v>749</v>
      </c>
      <c r="B794" s="1794" t="s">
        <v>750</v>
      </c>
      <c r="C794" s="1596">
        <v>4</v>
      </c>
      <c r="D794" s="1596">
        <v>-5</v>
      </c>
      <c r="E794" s="1596">
        <v>-55.5555555555556</v>
      </c>
      <c r="F794" s="1596">
        <v>3.79085583024623E-2</v>
      </c>
    </row>
    <row r="795" spans="1:6" x14ac:dyDescent="0.3">
      <c r="A795" s="1597" t="s">
        <v>751</v>
      </c>
      <c r="B795" s="1794" t="s">
        <v>752</v>
      </c>
      <c r="C795" s="1598">
        <v>18</v>
      </c>
      <c r="D795" s="1598">
        <v>15</v>
      </c>
      <c r="E795" s="1598">
        <v>500</v>
      </c>
      <c r="F795" s="1598">
        <v>0.170588512361081</v>
      </c>
    </row>
    <row r="796" spans="1:6" x14ac:dyDescent="0.3">
      <c r="A796" s="1599" t="s">
        <v>753</v>
      </c>
      <c r="B796" s="1794" t="s">
        <v>754</v>
      </c>
      <c r="C796" s="1600">
        <v>0</v>
      </c>
      <c r="D796" s="1600">
        <v>0</v>
      </c>
      <c r="E796" s="1600" t="s">
        <v>38</v>
      </c>
      <c r="F796" s="1600">
        <v>0</v>
      </c>
    </row>
    <row r="797" spans="1:6" x14ac:dyDescent="0.3">
      <c r="A797" s="1601" t="s">
        <v>755</v>
      </c>
      <c r="B797" s="1794" t="s">
        <v>756</v>
      </c>
      <c r="C797" s="1602">
        <v>660</v>
      </c>
      <c r="D797" s="1602">
        <v>-79</v>
      </c>
      <c r="E797" s="1602">
        <v>-10.690121786197601</v>
      </c>
      <c r="F797" s="1602">
        <v>6.2549121199062903</v>
      </c>
    </row>
    <row r="798" spans="1:6" x14ac:dyDescent="0.3">
      <c r="A798" s="1603" t="s">
        <v>757</v>
      </c>
      <c r="B798" s="1795" t="s">
        <v>758</v>
      </c>
      <c r="C798" s="1604">
        <v>529</v>
      </c>
      <c r="D798" s="1604">
        <v>-86</v>
      </c>
      <c r="E798" s="1604">
        <v>-13.983739837398399</v>
      </c>
      <c r="F798" s="1604">
        <v>5.01340683550064</v>
      </c>
    </row>
    <row r="799" spans="1:6" x14ac:dyDescent="0.3">
      <c r="A799" s="1605" t="s">
        <v>757</v>
      </c>
      <c r="B799" s="1795" t="s">
        <v>759</v>
      </c>
      <c r="C799" s="1606">
        <v>276</v>
      </c>
      <c r="D799" s="1606">
        <v>-48</v>
      </c>
      <c r="E799" s="1606">
        <v>-14.814814814814801</v>
      </c>
      <c r="F799" s="1606">
        <v>2.6156905228699001</v>
      </c>
    </row>
    <row r="800" spans="1:6" x14ac:dyDescent="0.3">
      <c r="A800" s="1607" t="s">
        <v>760</v>
      </c>
      <c r="B800" s="1795" t="s">
        <v>759</v>
      </c>
      <c r="C800" s="1608">
        <v>99</v>
      </c>
      <c r="D800" s="1608">
        <v>-7</v>
      </c>
      <c r="E800" s="1608">
        <v>-6.6037735849056602</v>
      </c>
      <c r="F800" s="1608">
        <v>0.93823681798594305</v>
      </c>
    </row>
    <row r="801" spans="1:6" x14ac:dyDescent="0.3">
      <c r="A801" s="1609" t="s">
        <v>761</v>
      </c>
      <c r="B801" s="1795" t="s">
        <v>759</v>
      </c>
      <c r="C801" s="1610">
        <v>177</v>
      </c>
      <c r="D801" s="1610">
        <v>-41</v>
      </c>
      <c r="E801" s="1610">
        <v>-18.807339449541299</v>
      </c>
      <c r="F801" s="1610">
        <v>1.67745370488396</v>
      </c>
    </row>
    <row r="802" spans="1:6" x14ac:dyDescent="0.3">
      <c r="A802" s="1611" t="s">
        <v>757</v>
      </c>
      <c r="B802" s="1795" t="s">
        <v>762</v>
      </c>
      <c r="C802" s="1612">
        <v>24</v>
      </c>
      <c r="D802" s="1612">
        <v>-3</v>
      </c>
      <c r="E802" s="1612">
        <v>-11.1111111111111</v>
      </c>
      <c r="F802" s="1612">
        <v>0.227451349814774</v>
      </c>
    </row>
    <row r="803" spans="1:6" x14ac:dyDescent="0.3">
      <c r="A803" s="1613" t="s">
        <v>760</v>
      </c>
      <c r="B803" s="1795" t="s">
        <v>762</v>
      </c>
      <c r="C803" s="1614">
        <v>2</v>
      </c>
      <c r="D803" s="1614">
        <v>0</v>
      </c>
      <c r="E803" s="1614">
        <v>0</v>
      </c>
      <c r="F803" s="1614">
        <v>1.8954279151231199E-2</v>
      </c>
    </row>
    <row r="804" spans="1:6" x14ac:dyDescent="0.3">
      <c r="A804" s="1615" t="s">
        <v>761</v>
      </c>
      <c r="B804" s="1795" t="s">
        <v>762</v>
      </c>
      <c r="C804" s="1616">
        <v>22</v>
      </c>
      <c r="D804" s="1616">
        <v>-3</v>
      </c>
      <c r="E804" s="1616">
        <v>-12</v>
      </c>
      <c r="F804" s="1616">
        <v>0.208497070663543</v>
      </c>
    </row>
    <row r="805" spans="1:6" x14ac:dyDescent="0.3">
      <c r="A805" s="1617" t="s">
        <v>757</v>
      </c>
      <c r="B805" s="1795" t="s">
        <v>763</v>
      </c>
      <c r="C805" s="1618">
        <v>68</v>
      </c>
      <c r="D805" s="1618">
        <v>7</v>
      </c>
      <c r="E805" s="1618">
        <v>11.4754098360656</v>
      </c>
      <c r="F805" s="1618">
        <v>0.64444549114186001</v>
      </c>
    </row>
    <row r="806" spans="1:6" x14ac:dyDescent="0.3">
      <c r="A806" s="1619" t="s">
        <v>760</v>
      </c>
      <c r="B806" s="1795" t="s">
        <v>764</v>
      </c>
      <c r="C806" s="1620">
        <v>56</v>
      </c>
      <c r="D806" s="1620">
        <v>5</v>
      </c>
      <c r="E806" s="1620">
        <v>9.8039215686274499</v>
      </c>
      <c r="F806" s="1620">
        <v>0.53071981623447295</v>
      </c>
    </row>
    <row r="807" spans="1:6" x14ac:dyDescent="0.3">
      <c r="A807" s="1621" t="s">
        <v>761</v>
      </c>
      <c r="B807" s="1795" t="s">
        <v>764</v>
      </c>
      <c r="C807" s="1622">
        <v>12</v>
      </c>
      <c r="D807" s="1622">
        <v>2</v>
      </c>
      <c r="E807" s="1622">
        <v>20</v>
      </c>
      <c r="F807" s="1622">
        <v>0.113725674907387</v>
      </c>
    </row>
    <row r="808" spans="1:6" x14ac:dyDescent="0.3">
      <c r="A808" s="1623" t="s">
        <v>757</v>
      </c>
      <c r="B808" s="1795" t="s">
        <v>765</v>
      </c>
      <c r="C808" s="1624">
        <v>161</v>
      </c>
      <c r="D808" s="1624">
        <v>-42</v>
      </c>
      <c r="E808" s="1624">
        <v>-20.689655172413801</v>
      </c>
      <c r="F808" s="1624">
        <v>1.52581947167411</v>
      </c>
    </row>
    <row r="809" spans="1:6" x14ac:dyDescent="0.3">
      <c r="A809" s="1625" t="s">
        <v>760</v>
      </c>
      <c r="B809" s="1795" t="s">
        <v>766</v>
      </c>
      <c r="C809" s="1626">
        <v>128</v>
      </c>
      <c r="D809" s="1626">
        <v>-33</v>
      </c>
      <c r="E809" s="1626">
        <v>-20.496894409937902</v>
      </c>
      <c r="F809" s="1626">
        <v>1.2130738656787901</v>
      </c>
    </row>
    <row r="810" spans="1:6" x14ac:dyDescent="0.3">
      <c r="A810" s="1627" t="s">
        <v>761</v>
      </c>
      <c r="B810" s="1795" t="s">
        <v>766</v>
      </c>
      <c r="C810" s="1628">
        <v>33</v>
      </c>
      <c r="D810" s="1628">
        <v>-9</v>
      </c>
      <c r="E810" s="1628">
        <v>-21.428571428571399</v>
      </c>
      <c r="F810" s="1628">
        <v>0.31274560599531398</v>
      </c>
    </row>
    <row r="811" spans="1:6" x14ac:dyDescent="0.3">
      <c r="A811" s="1629" t="s">
        <v>757</v>
      </c>
      <c r="B811" s="1795" t="s">
        <v>767</v>
      </c>
      <c r="C811" s="1630">
        <v>13</v>
      </c>
      <c r="D811" s="1630">
        <v>7</v>
      </c>
      <c r="E811" s="1630">
        <v>116.666666666667</v>
      </c>
      <c r="F811" s="1630">
        <v>0.12320281448300301</v>
      </c>
    </row>
    <row r="812" spans="1:6" x14ac:dyDescent="0.3">
      <c r="A812" s="1631" t="s">
        <v>760</v>
      </c>
      <c r="B812" s="1795" t="s">
        <v>768</v>
      </c>
      <c r="C812" s="1632">
        <v>7</v>
      </c>
      <c r="D812" s="1632">
        <v>3</v>
      </c>
      <c r="E812" s="1632">
        <v>75</v>
      </c>
      <c r="F812" s="1632">
        <v>6.6339977029309105E-2</v>
      </c>
    </row>
    <row r="813" spans="1:6" x14ac:dyDescent="0.3">
      <c r="A813" s="1633" t="s">
        <v>761</v>
      </c>
      <c r="B813" s="1795" t="s">
        <v>768</v>
      </c>
      <c r="C813" s="1634">
        <v>6</v>
      </c>
      <c r="D813" s="1634">
        <v>4</v>
      </c>
      <c r="E813" s="1634">
        <v>200</v>
      </c>
      <c r="F813" s="1634">
        <v>5.6862837453693499E-2</v>
      </c>
    </row>
    <row r="814" spans="1:6" x14ac:dyDescent="0.3">
      <c r="A814" s="1635" t="s">
        <v>769</v>
      </c>
      <c r="B814" s="1795" t="s">
        <v>770</v>
      </c>
      <c r="C814" s="1636">
        <v>118</v>
      </c>
      <c r="D814" s="1636">
        <v>0</v>
      </c>
      <c r="E814" s="1636">
        <v>0</v>
      </c>
      <c r="F814" s="1636">
        <v>1.11830246992264</v>
      </c>
    </row>
    <row r="815" spans="1:6" x14ac:dyDescent="0.3">
      <c r="A815" s="1637" t="s">
        <v>771</v>
      </c>
      <c r="B815" s="1794" t="s">
        <v>772</v>
      </c>
      <c r="C815" s="1638">
        <v>629</v>
      </c>
      <c r="D815" s="1638">
        <v>-115</v>
      </c>
      <c r="E815" s="1638">
        <v>-15.4569892473118</v>
      </c>
      <c r="F815" s="1638">
        <v>5.9611207930622001</v>
      </c>
    </row>
    <row r="816" spans="1:6" x14ac:dyDescent="0.3">
      <c r="A816" s="1639" t="s">
        <v>773</v>
      </c>
      <c r="B816" s="1794" t="s">
        <v>774</v>
      </c>
      <c r="C816" s="1640">
        <v>26</v>
      </c>
      <c r="D816" s="1640">
        <v>-14</v>
      </c>
      <c r="E816" s="1640">
        <v>-35</v>
      </c>
      <c r="F816" s="1640">
        <v>0.24640562896600501</v>
      </c>
    </row>
    <row r="817" spans="1:6" x14ac:dyDescent="0.3">
      <c r="A817" s="1641" t="s">
        <v>773</v>
      </c>
      <c r="B817" s="1795" t="s">
        <v>775</v>
      </c>
      <c r="C817" s="1642">
        <v>1</v>
      </c>
      <c r="D817" s="1642">
        <v>-1</v>
      </c>
      <c r="E817" s="1642">
        <v>-50</v>
      </c>
      <c r="F817" s="1642">
        <v>9.4771395756155907E-3</v>
      </c>
    </row>
    <row r="818" spans="1:6" x14ac:dyDescent="0.3">
      <c r="A818" s="1643" t="s">
        <v>773</v>
      </c>
      <c r="B818" s="1795" t="s">
        <v>776</v>
      </c>
      <c r="C818" s="1644">
        <v>25</v>
      </c>
      <c r="D818" s="1644">
        <v>-13</v>
      </c>
      <c r="E818" s="1644">
        <v>-34.210526315789501</v>
      </c>
      <c r="F818" s="1644">
        <v>0.23692848939038999</v>
      </c>
    </row>
    <row r="819" spans="1:6" x14ac:dyDescent="0.3">
      <c r="A819" s="1645" t="s">
        <v>777</v>
      </c>
      <c r="B819" s="1794" t="s">
        <v>778</v>
      </c>
      <c r="C819" s="1646">
        <v>7</v>
      </c>
      <c r="D819" s="1646">
        <v>-8</v>
      </c>
      <c r="E819" s="1646">
        <v>-53.3333333333333</v>
      </c>
      <c r="F819" s="1646">
        <v>6.6339977029309105E-2</v>
      </c>
    </row>
    <row r="820" spans="1:6" x14ac:dyDescent="0.3">
      <c r="A820" s="1647" t="s">
        <v>779</v>
      </c>
      <c r="B820" s="1794" t="s">
        <v>780</v>
      </c>
      <c r="C820" s="1648">
        <v>4</v>
      </c>
      <c r="D820" s="1648">
        <v>-5</v>
      </c>
      <c r="E820" s="1648">
        <v>-55.5555555555556</v>
      </c>
      <c r="F820" s="1648">
        <v>3.79085583024623E-2</v>
      </c>
    </row>
    <row r="821" spans="1:6" x14ac:dyDescent="0.3">
      <c r="A821" s="1649" t="s">
        <v>781</v>
      </c>
      <c r="B821" s="1794" t="s">
        <v>782</v>
      </c>
      <c r="C821" s="1650">
        <v>8</v>
      </c>
      <c r="D821" s="1650">
        <v>-1</v>
      </c>
      <c r="E821" s="1650">
        <v>-11.1111111111111</v>
      </c>
      <c r="F821" s="1650">
        <v>7.5817116604924698E-2</v>
      </c>
    </row>
    <row r="822" spans="1:6" x14ac:dyDescent="0.3">
      <c r="A822" s="1651" t="s">
        <v>783</v>
      </c>
      <c r="B822" s="1794" t="s">
        <v>784</v>
      </c>
      <c r="C822" s="1652">
        <v>137</v>
      </c>
      <c r="D822" s="1652">
        <v>29</v>
      </c>
      <c r="E822" s="1652">
        <v>26.851851851851901</v>
      </c>
      <c r="F822" s="1652">
        <v>1.2983681218593399</v>
      </c>
    </row>
    <row r="823" spans="1:6" x14ac:dyDescent="0.3">
      <c r="A823" s="1653" t="s">
        <v>785</v>
      </c>
      <c r="B823" s="1795" t="s">
        <v>786</v>
      </c>
      <c r="C823" s="1654">
        <v>6</v>
      </c>
      <c r="D823" s="1654">
        <v>5</v>
      </c>
      <c r="E823" s="1654">
        <v>500</v>
      </c>
      <c r="F823" s="1654">
        <v>5.6862837453693499E-2</v>
      </c>
    </row>
    <row r="824" spans="1:6" ht="21.6" x14ac:dyDescent="0.3">
      <c r="A824" s="1655" t="s">
        <v>787</v>
      </c>
      <c r="B824" s="1795" t="s">
        <v>940</v>
      </c>
      <c r="C824" s="1656">
        <v>91</v>
      </c>
      <c r="D824" s="1656">
        <v>16</v>
      </c>
      <c r="E824" s="1656">
        <v>21.3333333333333</v>
      </c>
      <c r="F824" s="1656">
        <v>0.86241970138101798</v>
      </c>
    </row>
    <row r="825" spans="1:6" ht="21.6" x14ac:dyDescent="0.3">
      <c r="A825" s="1657" t="s">
        <v>788</v>
      </c>
      <c r="B825" s="1795" t="s">
        <v>941</v>
      </c>
      <c r="C825" s="1658">
        <v>0</v>
      </c>
      <c r="D825" s="1658">
        <v>-1</v>
      </c>
      <c r="E825" s="1658">
        <v>-100</v>
      </c>
      <c r="F825" s="1658">
        <v>0</v>
      </c>
    </row>
    <row r="826" spans="1:6" x14ac:dyDescent="0.3">
      <c r="A826" s="1659" t="s">
        <v>789</v>
      </c>
      <c r="B826" s="1795" t="s">
        <v>790</v>
      </c>
      <c r="C826" s="1660">
        <v>5</v>
      </c>
      <c r="D826" s="1660">
        <v>-8</v>
      </c>
      <c r="E826" s="1660">
        <v>-61.538461538461497</v>
      </c>
      <c r="F826" s="1660">
        <v>4.73856978780779E-2</v>
      </c>
    </row>
    <row r="827" spans="1:6" x14ac:dyDescent="0.3">
      <c r="A827" s="1661" t="s">
        <v>791</v>
      </c>
      <c r="B827" s="1795" t="s">
        <v>792</v>
      </c>
      <c r="C827" s="1662">
        <v>4</v>
      </c>
      <c r="D827" s="1662">
        <v>4</v>
      </c>
      <c r="E827" s="1662" t="s">
        <v>38</v>
      </c>
      <c r="F827" s="1662">
        <v>3.79085583024623E-2</v>
      </c>
    </row>
    <row r="828" spans="1:6" x14ac:dyDescent="0.3">
      <c r="A828" s="1663" t="s">
        <v>793</v>
      </c>
      <c r="B828" s="1795" t="s">
        <v>794</v>
      </c>
      <c r="C828" s="1664">
        <v>31</v>
      </c>
      <c r="D828" s="1664">
        <v>13</v>
      </c>
      <c r="E828" s="1664">
        <v>72.2222222222222</v>
      </c>
      <c r="F828" s="1664">
        <v>0.29379132684408299</v>
      </c>
    </row>
    <row r="829" spans="1:6" x14ac:dyDescent="0.3">
      <c r="A829" s="1665" t="s">
        <v>795</v>
      </c>
      <c r="B829" s="1794" t="s">
        <v>796</v>
      </c>
      <c r="C829" s="1666">
        <v>200</v>
      </c>
      <c r="D829" s="1666">
        <v>-5</v>
      </c>
      <c r="E829" s="1666">
        <v>-2.4390243902439002</v>
      </c>
      <c r="F829" s="1666">
        <v>1.8954279151231199</v>
      </c>
    </row>
    <row r="830" spans="1:6" x14ac:dyDescent="0.3">
      <c r="A830" s="1667" t="s">
        <v>797</v>
      </c>
      <c r="B830" s="1795" t="s">
        <v>798</v>
      </c>
      <c r="C830" s="1668">
        <v>1</v>
      </c>
      <c r="D830" s="1668">
        <v>1</v>
      </c>
      <c r="E830" s="1668" t="s">
        <v>38</v>
      </c>
      <c r="F830" s="1668">
        <v>9.4771395756155907E-3</v>
      </c>
    </row>
    <row r="831" spans="1:6" x14ac:dyDescent="0.3">
      <c r="A831" s="1669" t="s">
        <v>797</v>
      </c>
      <c r="B831" s="1795" t="s">
        <v>799</v>
      </c>
      <c r="C831" s="1670">
        <v>187</v>
      </c>
      <c r="D831" s="1670">
        <v>-7</v>
      </c>
      <c r="E831" s="1670">
        <v>-3.6082474226804102</v>
      </c>
      <c r="F831" s="1670">
        <v>1.77222510064011</v>
      </c>
    </row>
    <row r="832" spans="1:6" x14ac:dyDescent="0.3">
      <c r="A832" s="1671" t="s">
        <v>797</v>
      </c>
      <c r="B832" s="1795" t="s">
        <v>800</v>
      </c>
      <c r="C832" s="1672">
        <v>3</v>
      </c>
      <c r="D832" s="1672">
        <v>-1</v>
      </c>
      <c r="E832" s="1672">
        <v>-25</v>
      </c>
      <c r="F832" s="1672">
        <v>2.8431418726846801E-2</v>
      </c>
    </row>
    <row r="833" spans="1:6" x14ac:dyDescent="0.3">
      <c r="A833" s="1673" t="s">
        <v>797</v>
      </c>
      <c r="B833" s="1795" t="s">
        <v>24</v>
      </c>
      <c r="C833" s="1674">
        <v>2</v>
      </c>
      <c r="D833" s="1674">
        <v>-1</v>
      </c>
      <c r="E833" s="1674">
        <v>-33.3333333333333</v>
      </c>
      <c r="F833" s="1674">
        <v>1.8954279151231199E-2</v>
      </c>
    </row>
    <row r="834" spans="1:6" x14ac:dyDescent="0.3">
      <c r="A834" s="1675" t="s">
        <v>797</v>
      </c>
      <c r="B834" s="1795" t="s">
        <v>25</v>
      </c>
      <c r="C834" s="1676">
        <v>1</v>
      </c>
      <c r="D834" s="1676">
        <v>0</v>
      </c>
      <c r="E834" s="1676">
        <v>0</v>
      </c>
      <c r="F834" s="1676">
        <v>9.4771395756155907E-3</v>
      </c>
    </row>
    <row r="835" spans="1:6" x14ac:dyDescent="0.3">
      <c r="A835" s="1677" t="s">
        <v>797</v>
      </c>
      <c r="B835" s="1795" t="s">
        <v>227</v>
      </c>
      <c r="C835" s="1678">
        <v>149</v>
      </c>
      <c r="D835" s="1678">
        <v>-16</v>
      </c>
      <c r="E835" s="1678">
        <v>-9.6969696969697008</v>
      </c>
      <c r="F835" s="1678">
        <v>1.41209379676672</v>
      </c>
    </row>
    <row r="836" spans="1:6" x14ac:dyDescent="0.3">
      <c r="A836" s="1679" t="s">
        <v>797</v>
      </c>
      <c r="B836" s="1795" t="s">
        <v>801</v>
      </c>
      <c r="C836" s="1680">
        <v>116</v>
      </c>
      <c r="D836" s="1680">
        <v>-4</v>
      </c>
      <c r="E836" s="1680">
        <v>-3.3333333333333299</v>
      </c>
      <c r="F836" s="1680">
        <v>1.09934819077141</v>
      </c>
    </row>
    <row r="837" spans="1:6" x14ac:dyDescent="0.3">
      <c r="A837" s="1681" t="s">
        <v>797</v>
      </c>
      <c r="B837" s="1795" t="s">
        <v>802</v>
      </c>
      <c r="C837" s="1682">
        <v>11</v>
      </c>
      <c r="D837" s="1682">
        <v>-13</v>
      </c>
      <c r="E837" s="1682">
        <v>-54.1666666666667</v>
      </c>
      <c r="F837" s="1682">
        <v>0.104248535331771</v>
      </c>
    </row>
    <row r="838" spans="1:6" x14ac:dyDescent="0.3">
      <c r="A838" s="1683" t="s">
        <v>797</v>
      </c>
      <c r="B838" s="1795" t="s">
        <v>803</v>
      </c>
      <c r="C838" s="1684">
        <v>17</v>
      </c>
      <c r="D838" s="1684">
        <v>1</v>
      </c>
      <c r="E838" s="1684">
        <v>6.25</v>
      </c>
      <c r="F838" s="1684">
        <v>0.161111372785465</v>
      </c>
    </row>
    <row r="839" spans="1:6" x14ac:dyDescent="0.3">
      <c r="A839" s="1685" t="s">
        <v>797</v>
      </c>
      <c r="B839" s="1795" t="s">
        <v>804</v>
      </c>
      <c r="C839" s="1686">
        <v>5</v>
      </c>
      <c r="D839" s="1686">
        <v>0</v>
      </c>
      <c r="E839" s="1686">
        <v>0</v>
      </c>
      <c r="F839" s="1686">
        <v>4.73856978780779E-2</v>
      </c>
    </row>
    <row r="840" spans="1:6" x14ac:dyDescent="0.3">
      <c r="A840" s="1687" t="s">
        <v>797</v>
      </c>
      <c r="B840" s="1795" t="s">
        <v>235</v>
      </c>
      <c r="C840" s="1688">
        <v>35</v>
      </c>
      <c r="D840" s="1688">
        <v>10</v>
      </c>
      <c r="E840" s="1688">
        <v>40</v>
      </c>
      <c r="F840" s="1688">
        <v>0.33169988514654503</v>
      </c>
    </row>
    <row r="841" spans="1:6" x14ac:dyDescent="0.3">
      <c r="A841" s="1689" t="s">
        <v>797</v>
      </c>
      <c r="B841" s="1795" t="s">
        <v>801</v>
      </c>
      <c r="C841" s="1690">
        <v>5</v>
      </c>
      <c r="D841" s="1690">
        <v>-7</v>
      </c>
      <c r="E841" s="1690">
        <v>-58.3333333333333</v>
      </c>
      <c r="F841" s="1690">
        <v>4.73856978780779E-2</v>
      </c>
    </row>
    <row r="842" spans="1:6" x14ac:dyDescent="0.3">
      <c r="A842" s="1691" t="s">
        <v>797</v>
      </c>
      <c r="B842" s="1795" t="s">
        <v>802</v>
      </c>
      <c r="C842" s="1692">
        <v>20</v>
      </c>
      <c r="D842" s="1692">
        <v>16</v>
      </c>
      <c r="E842" s="1692">
        <v>400</v>
      </c>
      <c r="F842" s="1692">
        <v>0.18954279151231199</v>
      </c>
    </row>
    <row r="843" spans="1:6" x14ac:dyDescent="0.3">
      <c r="A843" s="1693" t="s">
        <v>797</v>
      </c>
      <c r="B843" s="1795" t="s">
        <v>803</v>
      </c>
      <c r="C843" s="1694">
        <v>4</v>
      </c>
      <c r="D843" s="1694">
        <v>-2</v>
      </c>
      <c r="E843" s="1694">
        <v>-33.3333333333333</v>
      </c>
      <c r="F843" s="1694">
        <v>3.79085583024623E-2</v>
      </c>
    </row>
    <row r="844" spans="1:6" x14ac:dyDescent="0.3">
      <c r="A844" s="1695" t="s">
        <v>797</v>
      </c>
      <c r="B844" s="1795" t="s">
        <v>804</v>
      </c>
      <c r="C844" s="1696">
        <v>6</v>
      </c>
      <c r="D844" s="1696">
        <v>3</v>
      </c>
      <c r="E844" s="1696">
        <v>100</v>
      </c>
      <c r="F844" s="1696">
        <v>5.6862837453693499E-2</v>
      </c>
    </row>
    <row r="845" spans="1:6" x14ac:dyDescent="0.3">
      <c r="A845" s="1697" t="s">
        <v>805</v>
      </c>
      <c r="B845" s="1795" t="s">
        <v>806</v>
      </c>
      <c r="C845" s="1698">
        <v>12</v>
      </c>
      <c r="D845" s="1698">
        <v>1</v>
      </c>
      <c r="E845" s="1698">
        <v>9.0909090909090899</v>
      </c>
      <c r="F845" s="1698">
        <v>0.113725674907387</v>
      </c>
    </row>
    <row r="846" spans="1:6" x14ac:dyDescent="0.3">
      <c r="A846" s="1699" t="s">
        <v>807</v>
      </c>
      <c r="B846" s="1794" t="s">
        <v>808</v>
      </c>
      <c r="C846" s="1700">
        <v>0</v>
      </c>
      <c r="D846" s="1700">
        <v>-1</v>
      </c>
      <c r="E846" s="1700">
        <v>-100</v>
      </c>
      <c r="F846" s="1700">
        <v>0</v>
      </c>
    </row>
    <row r="847" spans="1:6" x14ac:dyDescent="0.3">
      <c r="A847" s="1701" t="s">
        <v>809</v>
      </c>
      <c r="B847" s="1794" t="s">
        <v>810</v>
      </c>
      <c r="C847" s="1702">
        <v>6</v>
      </c>
      <c r="D847" s="1702">
        <v>-1</v>
      </c>
      <c r="E847" s="1702">
        <v>-14.285714285714301</v>
      </c>
      <c r="F847" s="1702">
        <v>5.6862837453693499E-2</v>
      </c>
    </row>
    <row r="848" spans="1:6" x14ac:dyDescent="0.3">
      <c r="A848" s="1703" t="s">
        <v>811</v>
      </c>
      <c r="B848" s="1794" t="s">
        <v>812</v>
      </c>
      <c r="C848" s="1704">
        <v>2</v>
      </c>
      <c r="D848" s="1704">
        <v>0</v>
      </c>
      <c r="E848" s="1704">
        <v>0</v>
      </c>
      <c r="F848" s="1704">
        <v>1.8954279151231199E-2</v>
      </c>
    </row>
    <row r="849" spans="1:6" x14ac:dyDescent="0.3">
      <c r="A849" s="1705" t="s">
        <v>813</v>
      </c>
      <c r="B849" s="1795" t="s">
        <v>814</v>
      </c>
      <c r="C849" s="1706">
        <v>2</v>
      </c>
      <c r="D849" s="1706">
        <v>0</v>
      </c>
      <c r="E849" s="1706">
        <v>0</v>
      </c>
      <c r="F849" s="1706">
        <v>1.8954279151231199E-2</v>
      </c>
    </row>
    <row r="850" spans="1:6" x14ac:dyDescent="0.3">
      <c r="A850" s="1707" t="s">
        <v>815</v>
      </c>
      <c r="B850" s="1795" t="s">
        <v>816</v>
      </c>
      <c r="C850" s="1708">
        <v>0</v>
      </c>
      <c r="D850" s="1708">
        <v>0</v>
      </c>
      <c r="E850" s="1708" t="s">
        <v>38</v>
      </c>
      <c r="F850" s="1708">
        <v>0</v>
      </c>
    </row>
    <row r="851" spans="1:6" x14ac:dyDescent="0.3">
      <c r="A851" s="1709" t="s">
        <v>817</v>
      </c>
      <c r="B851" s="1795" t="s">
        <v>818</v>
      </c>
      <c r="C851" s="1710">
        <v>0</v>
      </c>
      <c r="D851" s="1710">
        <v>0</v>
      </c>
      <c r="E851" s="1710" t="s">
        <v>38</v>
      </c>
      <c r="F851" s="1710">
        <v>0</v>
      </c>
    </row>
    <row r="852" spans="1:6" x14ac:dyDescent="0.3">
      <c r="A852" s="1711" t="s">
        <v>819</v>
      </c>
      <c r="B852" s="1794" t="s">
        <v>820</v>
      </c>
      <c r="C852" s="1712">
        <v>176</v>
      </c>
      <c r="D852" s="1712">
        <v>28</v>
      </c>
      <c r="E852" s="1712">
        <v>18.918918918918902</v>
      </c>
      <c r="F852" s="1712">
        <v>1.66797656530834</v>
      </c>
    </row>
    <row r="853" spans="1:6" x14ac:dyDescent="0.3">
      <c r="A853" s="1713" t="s">
        <v>821</v>
      </c>
      <c r="B853" s="1795" t="s">
        <v>822</v>
      </c>
      <c r="C853" s="1714">
        <v>31</v>
      </c>
      <c r="D853" s="1714">
        <v>1</v>
      </c>
      <c r="E853" s="1714">
        <v>3.3333333333333299</v>
      </c>
      <c r="F853" s="1714">
        <v>0.29379132684408299</v>
      </c>
    </row>
    <row r="854" spans="1:6" x14ac:dyDescent="0.3">
      <c r="A854" s="1715" t="s">
        <v>823</v>
      </c>
      <c r="B854" s="1795" t="s">
        <v>824</v>
      </c>
      <c r="C854" s="1716">
        <v>107</v>
      </c>
      <c r="D854" s="1716">
        <v>13</v>
      </c>
      <c r="E854" s="1716">
        <v>13.8297872340426</v>
      </c>
      <c r="F854" s="1716">
        <v>1.0140539345908699</v>
      </c>
    </row>
    <row r="855" spans="1:6" x14ac:dyDescent="0.3">
      <c r="A855" s="1717" t="s">
        <v>825</v>
      </c>
      <c r="B855" s="1795" t="s">
        <v>629</v>
      </c>
      <c r="C855" s="1718">
        <v>38</v>
      </c>
      <c r="D855" s="1718">
        <v>14</v>
      </c>
      <c r="E855" s="1718">
        <v>58.3333333333333</v>
      </c>
      <c r="F855" s="1718">
        <v>0.36013130387339198</v>
      </c>
    </row>
    <row r="856" spans="1:6" x14ac:dyDescent="0.3">
      <c r="A856" s="1719" t="s">
        <v>826</v>
      </c>
      <c r="B856" s="1795" t="s">
        <v>630</v>
      </c>
      <c r="C856" s="1720">
        <v>0</v>
      </c>
      <c r="D856" s="1720">
        <v>0</v>
      </c>
      <c r="E856" s="1720" t="s">
        <v>38</v>
      </c>
      <c r="F856" s="1720">
        <v>0</v>
      </c>
    </row>
    <row r="857" spans="1:6" x14ac:dyDescent="0.3">
      <c r="A857" s="1721" t="s">
        <v>827</v>
      </c>
      <c r="B857" s="1794" t="s">
        <v>828</v>
      </c>
      <c r="C857" s="1722">
        <v>593</v>
      </c>
      <c r="D857" s="1722">
        <v>128</v>
      </c>
      <c r="E857" s="1722">
        <v>27.526881720430101</v>
      </c>
      <c r="F857" s="1722">
        <v>5.6199437683400397</v>
      </c>
    </row>
    <row r="858" spans="1:6" x14ac:dyDescent="0.3">
      <c r="A858" s="1723" t="s">
        <v>829</v>
      </c>
      <c r="B858" s="1794" t="s">
        <v>829</v>
      </c>
      <c r="C858" s="1724">
        <v>14</v>
      </c>
      <c r="D858" s="1724">
        <v>3</v>
      </c>
      <c r="E858" s="1724">
        <v>27.272727272727298</v>
      </c>
      <c r="F858" s="1724">
        <v>0.13267995405861799</v>
      </c>
    </row>
    <row r="859" spans="1:6" x14ac:dyDescent="0.3">
      <c r="A859" s="1725" t="s">
        <v>830</v>
      </c>
      <c r="B859" s="1794" t="s">
        <v>831</v>
      </c>
      <c r="C859" s="1726">
        <v>4</v>
      </c>
      <c r="D859" s="1726">
        <v>-2</v>
      </c>
      <c r="E859" s="1726">
        <v>-33.3333333333333</v>
      </c>
      <c r="F859" s="1726">
        <v>3.79085583024623E-2</v>
      </c>
    </row>
    <row r="860" spans="1:6" x14ac:dyDescent="0.3">
      <c r="A860" s="1727" t="s">
        <v>832</v>
      </c>
      <c r="B860" s="1795" t="s">
        <v>833</v>
      </c>
      <c r="C860" s="1728">
        <v>0</v>
      </c>
      <c r="D860" s="1728">
        <v>-3</v>
      </c>
      <c r="E860" s="1728">
        <v>-100</v>
      </c>
      <c r="F860" s="1728">
        <v>0</v>
      </c>
    </row>
    <row r="861" spans="1:6" x14ac:dyDescent="0.3">
      <c r="A861" s="1729" t="s">
        <v>834</v>
      </c>
      <c r="B861" s="1795" t="s">
        <v>835</v>
      </c>
      <c r="C861" s="1730">
        <v>4</v>
      </c>
      <c r="D861" s="1730">
        <v>1</v>
      </c>
      <c r="E861" s="1730">
        <v>33.3333333333333</v>
      </c>
      <c r="F861" s="1730">
        <v>3.79085583024623E-2</v>
      </c>
    </row>
    <row r="862" spans="1:6" x14ac:dyDescent="0.3">
      <c r="A862" s="1731" t="s">
        <v>836</v>
      </c>
      <c r="B862" s="1794" t="s">
        <v>942</v>
      </c>
      <c r="C862" s="1732">
        <v>3</v>
      </c>
      <c r="D862" s="1732">
        <v>-18</v>
      </c>
      <c r="E862" s="1732">
        <v>-85.714285714285694</v>
      </c>
      <c r="F862" s="1732">
        <v>2.8431418726846801E-2</v>
      </c>
    </row>
    <row r="863" spans="1:6" x14ac:dyDescent="0.3">
      <c r="A863" s="1733" t="s">
        <v>837</v>
      </c>
      <c r="B863" s="1795" t="s">
        <v>838</v>
      </c>
      <c r="C863" s="1734">
        <v>0</v>
      </c>
      <c r="D863" s="1734">
        <v>-12</v>
      </c>
      <c r="E863" s="1734">
        <v>-100</v>
      </c>
      <c r="F863" s="1734">
        <v>0</v>
      </c>
    </row>
    <row r="864" spans="1:6" x14ac:dyDescent="0.3">
      <c r="A864" s="1735" t="s">
        <v>839</v>
      </c>
      <c r="B864" s="1795" t="s">
        <v>840</v>
      </c>
      <c r="C864" s="1736">
        <v>2</v>
      </c>
      <c r="D864" s="1736">
        <v>1</v>
      </c>
      <c r="E864" s="1736">
        <v>100</v>
      </c>
      <c r="F864" s="1736">
        <v>1.8954279151231199E-2</v>
      </c>
    </row>
    <row r="865" spans="1:6" x14ac:dyDescent="0.3">
      <c r="A865" s="1737" t="s">
        <v>841</v>
      </c>
      <c r="B865" s="1795" t="s">
        <v>842</v>
      </c>
      <c r="C865" s="1738">
        <v>1</v>
      </c>
      <c r="D865" s="1738">
        <v>-3</v>
      </c>
      <c r="E865" s="1738">
        <v>-75</v>
      </c>
      <c r="F865" s="1738">
        <v>9.4771395756155907E-3</v>
      </c>
    </row>
    <row r="866" spans="1:6" x14ac:dyDescent="0.3">
      <c r="A866" s="1739" t="s">
        <v>843</v>
      </c>
      <c r="B866" s="1795" t="s">
        <v>302</v>
      </c>
      <c r="C866" s="1740">
        <v>0</v>
      </c>
      <c r="D866" s="1740">
        <v>-4</v>
      </c>
      <c r="E866" s="1740">
        <v>-100</v>
      </c>
      <c r="F866" s="1740">
        <v>0</v>
      </c>
    </row>
    <row r="867" spans="1:6" x14ac:dyDescent="0.3">
      <c r="A867" s="1741" t="s">
        <v>844</v>
      </c>
      <c r="B867" s="1794" t="s">
        <v>845</v>
      </c>
      <c r="C867" s="1742">
        <v>1</v>
      </c>
      <c r="D867" s="1742">
        <v>-7</v>
      </c>
      <c r="E867" s="1742">
        <v>-87.5</v>
      </c>
      <c r="F867" s="1742">
        <v>9.4771395756155907E-3</v>
      </c>
    </row>
    <row r="868" spans="1:6" x14ac:dyDescent="0.3">
      <c r="A868" s="1743" t="s">
        <v>846</v>
      </c>
      <c r="B868" s="1794" t="s">
        <v>847</v>
      </c>
      <c r="C868" s="1744">
        <v>2</v>
      </c>
      <c r="D868" s="1744">
        <v>1</v>
      </c>
      <c r="E868" s="1744">
        <v>100</v>
      </c>
      <c r="F868" s="1744">
        <v>1.8954279151231199E-2</v>
      </c>
    </row>
    <row r="869" spans="1:6" x14ac:dyDescent="0.3">
      <c r="A869" s="1745" t="s">
        <v>848</v>
      </c>
      <c r="B869" s="1794" t="s">
        <v>849</v>
      </c>
      <c r="C869" s="1746">
        <v>58</v>
      </c>
      <c r="D869" s="1746">
        <v>23</v>
      </c>
      <c r="E869" s="1746">
        <v>65.714285714285694</v>
      </c>
      <c r="F869" s="1746">
        <v>0.549674095385704</v>
      </c>
    </row>
    <row r="870" spans="1:6" x14ac:dyDescent="0.3">
      <c r="A870" s="1747" t="s">
        <v>850</v>
      </c>
      <c r="B870" s="1794" t="s">
        <v>851</v>
      </c>
      <c r="C870" s="1748">
        <v>5</v>
      </c>
      <c r="D870" s="1748">
        <v>4</v>
      </c>
      <c r="E870" s="1748">
        <v>400</v>
      </c>
      <c r="F870" s="1748">
        <v>4.73856978780779E-2</v>
      </c>
    </row>
    <row r="871" spans="1:6" x14ac:dyDescent="0.3">
      <c r="A871" s="1749" t="s">
        <v>852</v>
      </c>
      <c r="B871" s="1794" t="s">
        <v>853</v>
      </c>
      <c r="C871" s="1750">
        <v>84</v>
      </c>
      <c r="D871" s="1750">
        <v>11</v>
      </c>
      <c r="E871" s="1750">
        <v>15.068493150684899</v>
      </c>
      <c r="F871" s="1750">
        <v>0.79607972435170904</v>
      </c>
    </row>
    <row r="872" spans="1:6" ht="21.6" x14ac:dyDescent="0.3">
      <c r="A872" s="1751" t="s">
        <v>854</v>
      </c>
      <c r="B872" s="1794" t="s">
        <v>855</v>
      </c>
      <c r="C872" s="1752">
        <v>7</v>
      </c>
      <c r="D872" s="1752">
        <v>-1</v>
      </c>
      <c r="E872" s="1752">
        <v>-12.5</v>
      </c>
      <c r="F872" s="1752">
        <v>6.6339977029309105E-2</v>
      </c>
    </row>
    <row r="873" spans="1:6" ht="31.8" x14ac:dyDescent="0.3">
      <c r="A873" s="1753" t="s">
        <v>856</v>
      </c>
      <c r="B873" s="1794" t="s">
        <v>857</v>
      </c>
      <c r="C873" s="1754">
        <v>11</v>
      </c>
      <c r="D873" s="1754">
        <v>2</v>
      </c>
      <c r="E873" s="1754">
        <v>22.2222222222222</v>
      </c>
      <c r="F873" s="1754">
        <v>0.104248535331771</v>
      </c>
    </row>
    <row r="874" spans="1:6" x14ac:dyDescent="0.3">
      <c r="A874" s="1755" t="s">
        <v>858</v>
      </c>
      <c r="B874" s="1794" t="s">
        <v>858</v>
      </c>
      <c r="C874" s="1756">
        <v>175</v>
      </c>
      <c r="D874" s="1756">
        <v>37</v>
      </c>
      <c r="E874" s="1756">
        <v>26.811594202898601</v>
      </c>
      <c r="F874" s="1756">
        <v>1.6584994257327299</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98A3-C856-4071-8EC3-BA399822D996}">
  <dimension ref="A1:F873"/>
  <sheetViews>
    <sheetView showGridLines="0" tabSelected="1" topLeftCell="A377" workbookViewId="0">
      <selection activeCell="B254" sqref="B254"/>
    </sheetView>
  </sheetViews>
  <sheetFormatPr defaultColWidth="9.109375" defaultRowHeight="14.4" x14ac:dyDescent="0.3"/>
  <cols>
    <col min="1" max="2" width="65.6640625" style="8" customWidth="1"/>
    <col min="3" max="3" width="18.6640625" style="3" customWidth="1"/>
    <col min="4" max="4" width="25.77734375" style="4" customWidth="1"/>
    <col min="5" max="5" width="18.6640625" style="7" customWidth="1"/>
    <col min="6" max="6" width="19.6640625" style="4" customWidth="1"/>
    <col min="7" max="16384" width="9.109375" style="8"/>
  </cols>
  <sheetData>
    <row r="1" spans="1:6" ht="30.6" x14ac:dyDescent="0.3">
      <c r="A1" s="12" t="s">
        <v>1</v>
      </c>
      <c r="B1" s="12" t="s">
        <v>0</v>
      </c>
      <c r="C1" s="1796" t="s">
        <v>943</v>
      </c>
      <c r="D1" s="12" t="s">
        <v>863</v>
      </c>
      <c r="E1" s="12" t="s">
        <v>864</v>
      </c>
      <c r="F1" s="12" t="s">
        <v>862</v>
      </c>
    </row>
    <row r="2" spans="1:6" x14ac:dyDescent="0.3">
      <c r="A2" s="13" t="s">
        <v>6</v>
      </c>
      <c r="B2" s="1794" t="s">
        <v>6</v>
      </c>
      <c r="C2" s="14">
        <v>1478879</v>
      </c>
      <c r="D2" s="14">
        <v>-21760</v>
      </c>
      <c r="E2" s="14">
        <v>-1.4500489458157499</v>
      </c>
      <c r="F2" s="14">
        <v>14015.542698446799</v>
      </c>
    </row>
    <row r="3" spans="1:6" x14ac:dyDescent="0.3">
      <c r="A3" s="15" t="s">
        <v>7</v>
      </c>
      <c r="B3" s="1794" t="s">
        <v>8</v>
      </c>
      <c r="C3" s="16">
        <v>1183665</v>
      </c>
      <c r="D3" s="16">
        <v>-44564</v>
      </c>
      <c r="E3" s="16">
        <v>-3.6283136125266502</v>
      </c>
      <c r="F3" s="16">
        <v>11217.758415771001</v>
      </c>
    </row>
    <row r="4" spans="1:6" x14ac:dyDescent="0.3">
      <c r="A4" s="17" t="s">
        <v>9</v>
      </c>
      <c r="B4" s="1794" t="s">
        <v>10</v>
      </c>
      <c r="C4" s="18">
        <v>308967</v>
      </c>
      <c r="D4" s="18">
        <v>15855</v>
      </c>
      <c r="E4" s="18">
        <v>5.4091951199541501</v>
      </c>
      <c r="F4" s="18">
        <v>2928.1233832592202</v>
      </c>
    </row>
    <row r="5" spans="1:6" x14ac:dyDescent="0.3">
      <c r="A5" s="19" t="s">
        <v>11</v>
      </c>
      <c r="B5" s="19" t="s">
        <v>12</v>
      </c>
      <c r="C5" s="20">
        <v>95509</v>
      </c>
      <c r="D5" s="20">
        <v>3006</v>
      </c>
      <c r="E5" s="20">
        <v>3.249624336508</v>
      </c>
      <c r="F5" s="20">
        <v>905.15212372746896</v>
      </c>
    </row>
    <row r="6" spans="1:6" x14ac:dyDescent="0.3">
      <c r="A6" s="21" t="s">
        <v>13</v>
      </c>
      <c r="B6" s="1795" t="s">
        <v>14</v>
      </c>
      <c r="C6" s="22">
        <v>501</v>
      </c>
      <c r="D6" s="22">
        <v>16</v>
      </c>
      <c r="E6" s="22">
        <v>3.2989690721649501</v>
      </c>
      <c r="F6" s="22">
        <v>4.7480469273834096</v>
      </c>
    </row>
    <row r="7" spans="1:6" x14ac:dyDescent="0.3">
      <c r="A7" s="23" t="s">
        <v>13</v>
      </c>
      <c r="B7" s="1797" t="s">
        <v>15</v>
      </c>
      <c r="C7" s="24">
        <v>171</v>
      </c>
      <c r="D7" s="24">
        <v>-10</v>
      </c>
      <c r="E7" s="24">
        <v>-5.5248618784530397</v>
      </c>
      <c r="F7" s="24">
        <v>1.62059086743027</v>
      </c>
    </row>
    <row r="8" spans="1:6" x14ac:dyDescent="0.3">
      <c r="A8" s="25" t="s">
        <v>13</v>
      </c>
      <c r="B8" s="1795" t="s">
        <v>16</v>
      </c>
      <c r="C8" s="26">
        <v>12</v>
      </c>
      <c r="D8" s="26">
        <v>-6</v>
      </c>
      <c r="E8" s="26">
        <v>-33.3333333333333</v>
      </c>
      <c r="F8" s="26">
        <v>0.113725674907387</v>
      </c>
    </row>
    <row r="9" spans="1:6" x14ac:dyDescent="0.3">
      <c r="A9" s="27" t="s">
        <v>13</v>
      </c>
      <c r="B9" s="1795" t="s">
        <v>17</v>
      </c>
      <c r="C9" s="28">
        <v>159</v>
      </c>
      <c r="D9" s="28">
        <v>-4</v>
      </c>
      <c r="E9" s="28">
        <v>-2.4539877300613502</v>
      </c>
      <c r="F9" s="28">
        <v>1.50686519252288</v>
      </c>
    </row>
    <row r="10" spans="1:6" x14ac:dyDescent="0.3">
      <c r="A10" s="29" t="s">
        <v>13</v>
      </c>
      <c r="B10" s="1795" t="s">
        <v>18</v>
      </c>
      <c r="C10" s="30">
        <v>330</v>
      </c>
      <c r="D10" s="30">
        <v>26</v>
      </c>
      <c r="E10" s="30">
        <v>8.5526315789473699</v>
      </c>
      <c r="F10" s="30">
        <v>3.1274560599531398</v>
      </c>
    </row>
    <row r="11" spans="1:6" x14ac:dyDescent="0.3">
      <c r="A11" s="31" t="s">
        <v>13</v>
      </c>
      <c r="B11" s="1795" t="s">
        <v>19</v>
      </c>
      <c r="C11" s="32">
        <v>77</v>
      </c>
      <c r="D11" s="32">
        <v>-6</v>
      </c>
      <c r="E11" s="32">
        <v>-7.2289156626505999</v>
      </c>
      <c r="F11" s="32">
        <v>0.72973974732239999</v>
      </c>
    </row>
    <row r="12" spans="1:6" x14ac:dyDescent="0.3">
      <c r="A12" s="33" t="s">
        <v>13</v>
      </c>
      <c r="B12" s="1795" t="s">
        <v>20</v>
      </c>
      <c r="C12" s="34">
        <v>253</v>
      </c>
      <c r="D12" s="34">
        <v>32</v>
      </c>
      <c r="E12" s="34">
        <v>14.4796380090498</v>
      </c>
      <c r="F12" s="34">
        <v>2.3977163126307399</v>
      </c>
    </row>
    <row r="13" spans="1:6" x14ac:dyDescent="0.3">
      <c r="A13" s="35" t="s">
        <v>21</v>
      </c>
      <c r="B13" s="1795" t="s">
        <v>22</v>
      </c>
      <c r="C13" s="36">
        <v>1353</v>
      </c>
      <c r="D13" s="36">
        <v>33</v>
      </c>
      <c r="E13" s="36">
        <v>2.5</v>
      </c>
      <c r="F13" s="36">
        <v>12.8225698458079</v>
      </c>
    </row>
    <row r="14" spans="1:6" x14ac:dyDescent="0.3">
      <c r="A14" s="37" t="s">
        <v>21</v>
      </c>
      <c r="B14" s="1795" t="s">
        <v>23</v>
      </c>
      <c r="C14" s="38">
        <v>137</v>
      </c>
      <c r="D14" s="38">
        <v>-1</v>
      </c>
      <c r="E14" s="38">
        <v>-0.72463768115941996</v>
      </c>
      <c r="F14" s="38">
        <v>1.2983681218593399</v>
      </c>
    </row>
    <row r="15" spans="1:6" x14ac:dyDescent="0.3">
      <c r="A15" s="39" t="s">
        <v>21</v>
      </c>
      <c r="B15" s="1795" t="s">
        <v>24</v>
      </c>
      <c r="C15" s="40">
        <v>32</v>
      </c>
      <c r="D15" s="40">
        <v>-1</v>
      </c>
      <c r="E15" s="40">
        <v>-3.0303030303030298</v>
      </c>
      <c r="F15" s="40">
        <v>0.30326846641969901</v>
      </c>
    </row>
    <row r="16" spans="1:6" x14ac:dyDescent="0.3">
      <c r="A16" s="41" t="s">
        <v>21</v>
      </c>
      <c r="B16" s="1795" t="s">
        <v>25</v>
      </c>
      <c r="C16" s="42">
        <v>105</v>
      </c>
      <c r="D16" s="42">
        <v>0</v>
      </c>
      <c r="E16" s="42">
        <v>0</v>
      </c>
      <c r="F16" s="42">
        <v>0.99509965543963597</v>
      </c>
    </row>
    <row r="17" spans="1:6" x14ac:dyDescent="0.3">
      <c r="A17" s="43" t="s">
        <v>21</v>
      </c>
      <c r="B17" s="1797" t="s">
        <v>227</v>
      </c>
      <c r="C17" s="44">
        <v>218</v>
      </c>
      <c r="D17" s="44">
        <v>0</v>
      </c>
      <c r="E17" s="44">
        <v>0</v>
      </c>
      <c r="F17" s="44">
        <v>2.0660164274841999</v>
      </c>
    </row>
    <row r="18" spans="1:6" x14ac:dyDescent="0.3">
      <c r="A18" s="45" t="s">
        <v>21</v>
      </c>
      <c r="B18" s="1795" t="s">
        <v>27</v>
      </c>
      <c r="C18" s="46">
        <v>61</v>
      </c>
      <c r="D18" s="46">
        <v>17</v>
      </c>
      <c r="E18" s="46">
        <v>38.636363636363598</v>
      </c>
      <c r="F18" s="46">
        <v>0.57810551411255096</v>
      </c>
    </row>
    <row r="19" spans="1:6" x14ac:dyDescent="0.3">
      <c r="A19" s="47" t="s">
        <v>21</v>
      </c>
      <c r="B19" s="1795" t="s">
        <v>28</v>
      </c>
      <c r="C19" s="48">
        <v>15</v>
      </c>
      <c r="D19" s="48">
        <v>-5</v>
      </c>
      <c r="E19" s="48">
        <v>-25</v>
      </c>
      <c r="F19" s="48">
        <v>0.14215709363423401</v>
      </c>
    </row>
    <row r="20" spans="1:6" x14ac:dyDescent="0.3">
      <c r="A20" s="49" t="s">
        <v>21</v>
      </c>
      <c r="B20" s="1795" t="s">
        <v>29</v>
      </c>
      <c r="C20" s="50">
        <v>50</v>
      </c>
      <c r="D20" s="50">
        <v>-1</v>
      </c>
      <c r="E20" s="50">
        <v>-1.9607843137254899</v>
      </c>
      <c r="F20" s="50">
        <v>0.47385697878077898</v>
      </c>
    </row>
    <row r="21" spans="1:6" x14ac:dyDescent="0.3">
      <c r="A21" s="51" t="s">
        <v>21</v>
      </c>
      <c r="B21" s="1795" t="s">
        <v>30</v>
      </c>
      <c r="C21" s="52">
        <v>92</v>
      </c>
      <c r="D21" s="52">
        <v>-11</v>
      </c>
      <c r="E21" s="52">
        <v>-10.6796116504854</v>
      </c>
      <c r="F21" s="52">
        <v>0.871896840956634</v>
      </c>
    </row>
    <row r="22" spans="1:6" x14ac:dyDescent="0.3">
      <c r="A22" s="53" t="s">
        <v>21</v>
      </c>
      <c r="B22" s="1797" t="s">
        <v>235</v>
      </c>
      <c r="C22" s="54">
        <v>998</v>
      </c>
      <c r="D22" s="54">
        <v>34</v>
      </c>
      <c r="E22" s="54">
        <v>3.5269709543568499</v>
      </c>
      <c r="F22" s="54">
        <v>9.4581852964643502</v>
      </c>
    </row>
    <row r="23" spans="1:6" x14ac:dyDescent="0.3">
      <c r="A23" s="55" t="s">
        <v>21</v>
      </c>
      <c r="B23" s="1795" t="s">
        <v>32</v>
      </c>
      <c r="C23" s="56">
        <v>23</v>
      </c>
      <c r="D23" s="56">
        <v>-9</v>
      </c>
      <c r="E23" s="56">
        <v>-28.125</v>
      </c>
      <c r="F23" s="56">
        <v>0.217974210239158</v>
      </c>
    </row>
    <row r="24" spans="1:6" x14ac:dyDescent="0.3">
      <c r="A24" s="57" t="s">
        <v>21</v>
      </c>
      <c r="B24" s="1795" t="s">
        <v>33</v>
      </c>
      <c r="C24" s="58">
        <v>29</v>
      </c>
      <c r="D24" s="58">
        <v>-5</v>
      </c>
      <c r="E24" s="58">
        <v>-14.705882352941201</v>
      </c>
      <c r="F24" s="58">
        <v>0.274837047692852</v>
      </c>
    </row>
    <row r="25" spans="1:6" x14ac:dyDescent="0.3">
      <c r="A25" s="59" t="s">
        <v>21</v>
      </c>
      <c r="B25" s="1795" t="s">
        <v>34</v>
      </c>
      <c r="C25" s="60">
        <v>168</v>
      </c>
      <c r="D25" s="60">
        <v>-73</v>
      </c>
      <c r="E25" s="60">
        <v>-30.290456431535301</v>
      </c>
      <c r="F25" s="60">
        <v>1.5921594487034201</v>
      </c>
    </row>
    <row r="26" spans="1:6" x14ac:dyDescent="0.3">
      <c r="A26" s="61" t="s">
        <v>21</v>
      </c>
      <c r="B26" s="1795" t="s">
        <v>35</v>
      </c>
      <c r="C26" s="62">
        <v>778</v>
      </c>
      <c r="D26" s="62">
        <v>121</v>
      </c>
      <c r="E26" s="62">
        <v>18.417047184170499</v>
      </c>
      <c r="F26" s="62">
        <v>7.3732145898289296</v>
      </c>
    </row>
    <row r="27" spans="1:6" x14ac:dyDescent="0.3">
      <c r="A27" s="63" t="s">
        <v>36</v>
      </c>
      <c r="B27" s="1795" t="s">
        <v>37</v>
      </c>
      <c r="C27" s="64">
        <v>1</v>
      </c>
      <c r="D27" s="64">
        <v>0</v>
      </c>
      <c r="E27" s="64">
        <v>0</v>
      </c>
      <c r="F27" s="64">
        <v>9.4771395756155907E-3</v>
      </c>
    </row>
    <row r="28" spans="1:6" x14ac:dyDescent="0.3">
      <c r="A28" s="65" t="s">
        <v>39</v>
      </c>
      <c r="B28" s="1795" t="s">
        <v>40</v>
      </c>
      <c r="C28" s="66">
        <v>88387</v>
      </c>
      <c r="D28" s="66">
        <v>2788</v>
      </c>
      <c r="E28" s="66">
        <v>3.2570473954135002</v>
      </c>
      <c r="F28" s="66">
        <v>837.65593566993505</v>
      </c>
    </row>
    <row r="29" spans="1:6" x14ac:dyDescent="0.3">
      <c r="A29" s="67" t="s">
        <v>39</v>
      </c>
      <c r="B29" s="1797" t="s">
        <v>946</v>
      </c>
      <c r="C29" s="68">
        <v>3905</v>
      </c>
      <c r="D29" s="68">
        <v>124</v>
      </c>
      <c r="E29" s="68">
        <v>3.2795556731023501</v>
      </c>
      <c r="F29" s="68">
        <v>37.008230042778898</v>
      </c>
    </row>
    <row r="30" spans="1:6" x14ac:dyDescent="0.3">
      <c r="A30" s="69" t="s">
        <v>39</v>
      </c>
      <c r="B30" s="1797" t="s">
        <v>947</v>
      </c>
      <c r="C30" s="70">
        <v>1633</v>
      </c>
      <c r="D30" s="70">
        <v>157</v>
      </c>
      <c r="E30" s="70">
        <v>10.6368563685637</v>
      </c>
      <c r="F30" s="70">
        <v>15.4761689269803</v>
      </c>
    </row>
    <row r="31" spans="1:6" x14ac:dyDescent="0.3">
      <c r="A31" s="71" t="s">
        <v>39</v>
      </c>
      <c r="B31" s="1797" t="s">
        <v>948</v>
      </c>
      <c r="C31" s="72">
        <v>1564</v>
      </c>
      <c r="D31" s="72">
        <v>127</v>
      </c>
      <c r="E31" s="72">
        <v>8.8378566457898398</v>
      </c>
      <c r="F31" s="72">
        <v>14.822246296262801</v>
      </c>
    </row>
    <row r="32" spans="1:6" x14ac:dyDescent="0.3">
      <c r="A32" s="73" t="s">
        <v>39</v>
      </c>
      <c r="B32" s="1795" t="s">
        <v>44</v>
      </c>
      <c r="C32" s="74">
        <v>98</v>
      </c>
      <c r="D32" s="74">
        <v>17</v>
      </c>
      <c r="E32" s="74">
        <v>20.987654320987701</v>
      </c>
      <c r="F32" s="74">
        <v>0.92875967841032703</v>
      </c>
    </row>
    <row r="33" spans="1:6" x14ac:dyDescent="0.3">
      <c r="A33" s="75" t="s">
        <v>39</v>
      </c>
      <c r="B33" s="1795" t="s">
        <v>45</v>
      </c>
      <c r="C33" s="76">
        <v>1466</v>
      </c>
      <c r="D33" s="76">
        <v>110</v>
      </c>
      <c r="E33" s="76">
        <v>8.1120943952802396</v>
      </c>
      <c r="F33" s="76">
        <v>13.8934866178524</v>
      </c>
    </row>
    <row r="34" spans="1:6" x14ac:dyDescent="0.3">
      <c r="A34" s="77" t="s">
        <v>39</v>
      </c>
      <c r="B34" s="1797" t="s">
        <v>949</v>
      </c>
      <c r="C34" s="78">
        <v>69</v>
      </c>
      <c r="D34" s="78">
        <v>30</v>
      </c>
      <c r="E34" s="78">
        <v>76.923076923076906</v>
      </c>
      <c r="F34" s="78">
        <v>0.65392263071747503</v>
      </c>
    </row>
    <row r="35" spans="1:6" x14ac:dyDescent="0.3">
      <c r="A35" s="79" t="s">
        <v>39</v>
      </c>
      <c r="B35" s="1795" t="s">
        <v>47</v>
      </c>
      <c r="C35" s="80">
        <v>35</v>
      </c>
      <c r="D35" s="80">
        <v>15</v>
      </c>
      <c r="E35" s="80">
        <v>75</v>
      </c>
      <c r="F35" s="80">
        <v>0.33169988514654503</v>
      </c>
    </row>
    <row r="36" spans="1:6" x14ac:dyDescent="0.3">
      <c r="A36" s="81" t="s">
        <v>39</v>
      </c>
      <c r="B36" s="1795" t="s">
        <v>48</v>
      </c>
      <c r="C36" s="82">
        <v>34</v>
      </c>
      <c r="D36" s="82">
        <v>15</v>
      </c>
      <c r="E36" s="82">
        <v>78.947368421052602</v>
      </c>
      <c r="F36" s="82">
        <v>0.32222274557093</v>
      </c>
    </row>
    <row r="37" spans="1:6" x14ac:dyDescent="0.3">
      <c r="A37" s="83" t="s">
        <v>39</v>
      </c>
      <c r="B37" s="1797" t="s">
        <v>950</v>
      </c>
      <c r="C37" s="84">
        <v>2272</v>
      </c>
      <c r="D37" s="84">
        <v>-33</v>
      </c>
      <c r="E37" s="84">
        <v>-1.4316702819956599</v>
      </c>
      <c r="F37" s="84">
        <v>21.532061115798601</v>
      </c>
    </row>
    <row r="38" spans="1:6" x14ac:dyDescent="0.3">
      <c r="A38" s="85" t="s">
        <v>39</v>
      </c>
      <c r="B38" s="1797" t="s">
        <v>951</v>
      </c>
      <c r="C38" s="86">
        <v>2183</v>
      </c>
      <c r="D38" s="86">
        <v>-32</v>
      </c>
      <c r="E38" s="86">
        <v>-1.4446952595936799</v>
      </c>
      <c r="F38" s="86">
        <v>20.6885956935688</v>
      </c>
    </row>
    <row r="39" spans="1:6" x14ac:dyDescent="0.3">
      <c r="A39" s="87" t="s">
        <v>39</v>
      </c>
      <c r="B39" s="1795" t="s">
        <v>51</v>
      </c>
      <c r="C39" s="88">
        <v>175</v>
      </c>
      <c r="D39" s="88">
        <v>18</v>
      </c>
      <c r="E39" s="88">
        <v>11.4649681528662</v>
      </c>
      <c r="F39" s="88">
        <v>1.6584994257327299</v>
      </c>
    </row>
    <row r="40" spans="1:6" x14ac:dyDescent="0.3">
      <c r="A40" s="89" t="s">
        <v>39</v>
      </c>
      <c r="B40" s="1795" t="s">
        <v>52</v>
      </c>
      <c r="C40" s="90">
        <v>2008</v>
      </c>
      <c r="D40" s="90">
        <v>-50</v>
      </c>
      <c r="E40" s="90">
        <v>-2.4295432458697799</v>
      </c>
      <c r="F40" s="90">
        <v>19.0300962678361</v>
      </c>
    </row>
    <row r="41" spans="1:6" x14ac:dyDescent="0.3">
      <c r="A41" s="91" t="s">
        <v>39</v>
      </c>
      <c r="B41" s="1797" t="s">
        <v>952</v>
      </c>
      <c r="C41" s="92">
        <v>89</v>
      </c>
      <c r="D41" s="92">
        <v>-1</v>
      </c>
      <c r="E41" s="92">
        <v>-1.1111111111111101</v>
      </c>
      <c r="F41" s="92">
        <v>0.84346542222978704</v>
      </c>
    </row>
    <row r="42" spans="1:6" x14ac:dyDescent="0.3">
      <c r="A42" s="93" t="s">
        <v>39</v>
      </c>
      <c r="B42" s="1795" t="s">
        <v>54</v>
      </c>
      <c r="C42" s="94">
        <v>59</v>
      </c>
      <c r="D42" s="94">
        <v>2</v>
      </c>
      <c r="E42" s="94">
        <v>3.5087719298245599</v>
      </c>
      <c r="F42" s="94">
        <v>0.55915123496132002</v>
      </c>
    </row>
    <row r="43" spans="1:6" x14ac:dyDescent="0.3">
      <c r="A43" s="95" t="s">
        <v>39</v>
      </c>
      <c r="B43" s="1795" t="s">
        <v>55</v>
      </c>
      <c r="C43" s="96">
        <v>30</v>
      </c>
      <c r="D43" s="96">
        <v>-3</v>
      </c>
      <c r="E43" s="96">
        <v>-9.0909090909090899</v>
      </c>
      <c r="F43" s="96">
        <v>0.28431418726846802</v>
      </c>
    </row>
    <row r="44" spans="1:6" x14ac:dyDescent="0.3">
      <c r="A44" s="97" t="s">
        <v>39</v>
      </c>
      <c r="B44" s="1797" t="s">
        <v>953</v>
      </c>
      <c r="C44" s="98">
        <v>14735</v>
      </c>
      <c r="D44" s="98">
        <v>594</v>
      </c>
      <c r="E44" s="98">
        <v>4.2005515875822104</v>
      </c>
      <c r="F44" s="98">
        <v>139.645651646696</v>
      </c>
    </row>
    <row r="45" spans="1:6" x14ac:dyDescent="0.3">
      <c r="A45" s="99" t="s">
        <v>39</v>
      </c>
      <c r="B45" s="1797" t="s">
        <v>954</v>
      </c>
      <c r="C45" s="100">
        <v>5729</v>
      </c>
      <c r="D45" s="100">
        <v>313</v>
      </c>
      <c r="E45" s="100">
        <v>5.7791728212703104</v>
      </c>
      <c r="F45" s="100">
        <v>54.294532628701702</v>
      </c>
    </row>
    <row r="46" spans="1:6" x14ac:dyDescent="0.3">
      <c r="A46" s="101" t="s">
        <v>39</v>
      </c>
      <c r="B46" s="1797" t="s">
        <v>955</v>
      </c>
      <c r="C46" s="102">
        <v>5142</v>
      </c>
      <c r="D46" s="102">
        <v>353</v>
      </c>
      <c r="E46" s="102">
        <v>7.3710586761328001</v>
      </c>
      <c r="F46" s="102">
        <v>48.731451697815302</v>
      </c>
    </row>
    <row r="47" spans="1:6" x14ac:dyDescent="0.3">
      <c r="A47" s="103" t="s">
        <v>39</v>
      </c>
      <c r="B47" s="1795" t="s">
        <v>59</v>
      </c>
      <c r="C47" s="104">
        <v>1074</v>
      </c>
      <c r="D47" s="104">
        <v>141</v>
      </c>
      <c r="E47" s="104">
        <v>15.112540192926</v>
      </c>
      <c r="F47" s="104">
        <v>10.178447904211099</v>
      </c>
    </row>
    <row r="48" spans="1:6" x14ac:dyDescent="0.3">
      <c r="A48" s="105" t="s">
        <v>39</v>
      </c>
      <c r="B48" s="1795" t="s">
        <v>60</v>
      </c>
      <c r="C48" s="106">
        <v>4068</v>
      </c>
      <c r="D48" s="106">
        <v>212</v>
      </c>
      <c r="E48" s="106">
        <v>5.4979253112033204</v>
      </c>
      <c r="F48" s="106">
        <v>38.553003793604198</v>
      </c>
    </row>
    <row r="49" spans="1:6" x14ac:dyDescent="0.3">
      <c r="A49" s="107" t="s">
        <v>39</v>
      </c>
      <c r="B49" s="1797" t="s">
        <v>956</v>
      </c>
      <c r="C49" s="108">
        <v>587</v>
      </c>
      <c r="D49" s="108">
        <v>-40</v>
      </c>
      <c r="E49" s="108">
        <v>-6.3795853269537499</v>
      </c>
      <c r="F49" s="108">
        <v>5.5630809308863496</v>
      </c>
    </row>
    <row r="50" spans="1:6" x14ac:dyDescent="0.3">
      <c r="A50" s="109" t="s">
        <v>39</v>
      </c>
      <c r="B50" s="1795" t="s">
        <v>62</v>
      </c>
      <c r="C50" s="110">
        <v>391</v>
      </c>
      <c r="D50" s="110">
        <v>-48</v>
      </c>
      <c r="E50" s="110">
        <v>-10.9339407744875</v>
      </c>
      <c r="F50" s="110">
        <v>3.70556157406569</v>
      </c>
    </row>
    <row r="51" spans="1:6" x14ac:dyDescent="0.3">
      <c r="A51" s="111" t="s">
        <v>39</v>
      </c>
      <c r="B51" s="1795" t="s">
        <v>63</v>
      </c>
      <c r="C51" s="112">
        <v>196</v>
      </c>
      <c r="D51" s="112">
        <v>8</v>
      </c>
      <c r="E51" s="112">
        <v>4.2553191489361701</v>
      </c>
      <c r="F51" s="112">
        <v>1.8575193568206501</v>
      </c>
    </row>
    <row r="52" spans="1:6" x14ac:dyDescent="0.3">
      <c r="A52" s="113" t="s">
        <v>39</v>
      </c>
      <c r="B52" s="1797" t="s">
        <v>957</v>
      </c>
      <c r="C52" s="114">
        <v>9006</v>
      </c>
      <c r="D52" s="114">
        <v>281</v>
      </c>
      <c r="E52" s="114">
        <v>3.22063037249284</v>
      </c>
      <c r="F52" s="114">
        <v>85.351119017993994</v>
      </c>
    </row>
    <row r="53" spans="1:6" x14ac:dyDescent="0.3">
      <c r="A53" s="115" t="s">
        <v>39</v>
      </c>
      <c r="B53" s="1797" t="s">
        <v>958</v>
      </c>
      <c r="C53" s="116">
        <v>7489</v>
      </c>
      <c r="D53" s="116">
        <v>372</v>
      </c>
      <c r="E53" s="116">
        <v>5.2269214556695198</v>
      </c>
      <c r="F53" s="116">
        <v>70.974298281785096</v>
      </c>
    </row>
    <row r="54" spans="1:6" x14ac:dyDescent="0.3">
      <c r="A54" s="117" t="s">
        <v>39</v>
      </c>
      <c r="B54" s="1795" t="s">
        <v>66</v>
      </c>
      <c r="C54" s="118">
        <v>2148</v>
      </c>
      <c r="D54" s="118">
        <v>147</v>
      </c>
      <c r="E54" s="118">
        <v>7.34632683658171</v>
      </c>
      <c r="F54" s="118">
        <v>20.356895808422301</v>
      </c>
    </row>
    <row r="55" spans="1:6" x14ac:dyDescent="0.3">
      <c r="A55" s="119" t="s">
        <v>39</v>
      </c>
      <c r="B55" s="1795" t="s">
        <v>67</v>
      </c>
      <c r="C55" s="120">
        <v>5341</v>
      </c>
      <c r="D55" s="120">
        <v>225</v>
      </c>
      <c r="E55" s="120">
        <v>4.3979671618451901</v>
      </c>
      <c r="F55" s="120">
        <v>50.617402473362802</v>
      </c>
    </row>
    <row r="56" spans="1:6" x14ac:dyDescent="0.3">
      <c r="A56" s="121" t="s">
        <v>39</v>
      </c>
      <c r="B56" s="1797" t="s">
        <v>959</v>
      </c>
      <c r="C56" s="122">
        <v>1517</v>
      </c>
      <c r="D56" s="122">
        <v>-91</v>
      </c>
      <c r="E56" s="122">
        <v>-5.6592039800995</v>
      </c>
      <c r="F56" s="122">
        <v>14.376820736208799</v>
      </c>
    </row>
    <row r="57" spans="1:6" x14ac:dyDescent="0.3">
      <c r="A57" s="123" t="s">
        <v>39</v>
      </c>
      <c r="B57" s="1795" t="s">
        <v>69</v>
      </c>
      <c r="C57" s="124">
        <v>1102</v>
      </c>
      <c r="D57" s="124">
        <v>-71</v>
      </c>
      <c r="E57" s="124">
        <v>-6.0528559249786902</v>
      </c>
      <c r="F57" s="124">
        <v>10.4438078123284</v>
      </c>
    </row>
    <row r="58" spans="1:6" x14ac:dyDescent="0.3">
      <c r="A58" s="125" t="s">
        <v>39</v>
      </c>
      <c r="B58" s="1795" t="s">
        <v>70</v>
      </c>
      <c r="C58" s="126">
        <v>415</v>
      </c>
      <c r="D58" s="126">
        <v>-20</v>
      </c>
      <c r="E58" s="126">
        <v>-4.5977011494252897</v>
      </c>
      <c r="F58" s="126">
        <v>3.9330129238804701</v>
      </c>
    </row>
    <row r="59" spans="1:6" x14ac:dyDescent="0.3">
      <c r="A59" s="127" t="s">
        <v>39</v>
      </c>
      <c r="B59" s="1797" t="s">
        <v>960</v>
      </c>
      <c r="C59" s="128">
        <v>7142</v>
      </c>
      <c r="D59" s="128">
        <v>137</v>
      </c>
      <c r="E59" s="128">
        <v>1.9557458957887199</v>
      </c>
      <c r="F59" s="128">
        <v>67.685730849046493</v>
      </c>
    </row>
    <row r="60" spans="1:6" x14ac:dyDescent="0.3">
      <c r="A60" s="129" t="s">
        <v>39</v>
      </c>
      <c r="B60" s="1797" t="s">
        <v>961</v>
      </c>
      <c r="C60" s="130">
        <v>2861</v>
      </c>
      <c r="D60" s="130">
        <v>148</v>
      </c>
      <c r="E60" s="130">
        <v>5.4552156284555799</v>
      </c>
      <c r="F60" s="130">
        <v>27.114096325836201</v>
      </c>
    </row>
    <row r="61" spans="1:6" x14ac:dyDescent="0.3">
      <c r="A61" s="131" t="s">
        <v>39</v>
      </c>
      <c r="B61" s="1797" t="s">
        <v>962</v>
      </c>
      <c r="C61" s="132">
        <v>2349</v>
      </c>
      <c r="D61" s="132">
        <v>184</v>
      </c>
      <c r="E61" s="132">
        <v>8.4988452655889102</v>
      </c>
      <c r="F61" s="132">
        <v>22.261800863121</v>
      </c>
    </row>
    <row r="62" spans="1:6" x14ac:dyDescent="0.3">
      <c r="A62" s="133" t="s">
        <v>39</v>
      </c>
      <c r="B62" s="1795" t="s">
        <v>74</v>
      </c>
      <c r="C62" s="134">
        <v>627</v>
      </c>
      <c r="D62" s="134">
        <v>47</v>
      </c>
      <c r="E62" s="134">
        <v>8.1034482758620694</v>
      </c>
      <c r="F62" s="134">
        <v>5.9421665139109701</v>
      </c>
    </row>
    <row r="63" spans="1:6" x14ac:dyDescent="0.3">
      <c r="A63" s="135" t="s">
        <v>39</v>
      </c>
      <c r="B63" s="1795" t="s">
        <v>75</v>
      </c>
      <c r="C63" s="136">
        <v>1722</v>
      </c>
      <c r="D63" s="136">
        <v>137</v>
      </c>
      <c r="E63" s="136">
        <v>8.6435331230283907</v>
      </c>
      <c r="F63" s="136">
        <v>16.319634349209998</v>
      </c>
    </row>
    <row r="64" spans="1:6" x14ac:dyDescent="0.3">
      <c r="A64" s="137" t="s">
        <v>39</v>
      </c>
      <c r="B64" s="1797" t="s">
        <v>963</v>
      </c>
      <c r="C64" s="138">
        <v>512</v>
      </c>
      <c r="D64" s="138">
        <v>-36</v>
      </c>
      <c r="E64" s="138">
        <v>-6.5693430656934302</v>
      </c>
      <c r="F64" s="138">
        <v>4.8522954627151798</v>
      </c>
    </row>
    <row r="65" spans="1:6" x14ac:dyDescent="0.3">
      <c r="A65" s="139" t="s">
        <v>39</v>
      </c>
      <c r="B65" s="1795" t="s">
        <v>77</v>
      </c>
      <c r="C65" s="140">
        <v>345</v>
      </c>
      <c r="D65" s="140">
        <v>17</v>
      </c>
      <c r="E65" s="140">
        <v>5.1829268292682897</v>
      </c>
      <c r="F65" s="140">
        <v>3.2696131535873798</v>
      </c>
    </row>
    <row r="66" spans="1:6" x14ac:dyDescent="0.3">
      <c r="A66" s="141" t="s">
        <v>39</v>
      </c>
      <c r="B66" s="1795" t="s">
        <v>78</v>
      </c>
      <c r="C66" s="142">
        <v>167</v>
      </c>
      <c r="D66" s="142">
        <v>-53</v>
      </c>
      <c r="E66" s="142">
        <v>-24.090909090909101</v>
      </c>
      <c r="F66" s="142">
        <v>1.5826823091277999</v>
      </c>
    </row>
    <row r="67" spans="1:6" x14ac:dyDescent="0.3">
      <c r="A67" s="143" t="s">
        <v>39</v>
      </c>
      <c r="B67" s="1797" t="s">
        <v>964</v>
      </c>
      <c r="C67" s="144">
        <v>4281</v>
      </c>
      <c r="D67" s="144">
        <v>-11</v>
      </c>
      <c r="E67" s="144">
        <v>-0.25629077353215302</v>
      </c>
      <c r="F67" s="144">
        <v>40.5716345232103</v>
      </c>
    </row>
    <row r="68" spans="1:6" x14ac:dyDescent="0.3">
      <c r="A68" s="145" t="s">
        <v>39</v>
      </c>
      <c r="B68" s="1797" t="s">
        <v>965</v>
      </c>
      <c r="C68" s="146">
        <v>2637</v>
      </c>
      <c r="D68" s="146">
        <v>-8</v>
      </c>
      <c r="E68" s="146">
        <v>-0.302457466918715</v>
      </c>
      <c r="F68" s="146">
        <v>24.9912170608983</v>
      </c>
    </row>
    <row r="69" spans="1:6" x14ac:dyDescent="0.3">
      <c r="A69" s="147" t="s">
        <v>39</v>
      </c>
      <c r="B69" s="1795" t="s">
        <v>81</v>
      </c>
      <c r="C69" s="148">
        <v>1123</v>
      </c>
      <c r="D69" s="148">
        <v>41</v>
      </c>
      <c r="E69" s="148">
        <v>3.7892791127541599</v>
      </c>
      <c r="F69" s="148">
        <v>10.6428277434163</v>
      </c>
    </row>
    <row r="70" spans="1:6" x14ac:dyDescent="0.3">
      <c r="A70" s="149" t="s">
        <v>39</v>
      </c>
      <c r="B70" s="1795" t="s">
        <v>82</v>
      </c>
      <c r="C70" s="150">
        <v>1514</v>
      </c>
      <c r="D70" s="150">
        <v>-49</v>
      </c>
      <c r="E70" s="150">
        <v>-3.1349968010236702</v>
      </c>
      <c r="F70" s="150">
        <v>14.348389317482001</v>
      </c>
    </row>
    <row r="71" spans="1:6" x14ac:dyDescent="0.3">
      <c r="A71" s="151" t="s">
        <v>39</v>
      </c>
      <c r="B71" s="1797" t="s">
        <v>966</v>
      </c>
      <c r="C71" s="152">
        <v>1644</v>
      </c>
      <c r="D71" s="152">
        <v>-3</v>
      </c>
      <c r="E71" s="152">
        <v>-0.18214936247723101</v>
      </c>
      <c r="F71" s="152">
        <v>15.580417462312001</v>
      </c>
    </row>
    <row r="72" spans="1:6" x14ac:dyDescent="0.3">
      <c r="A72" s="153" t="s">
        <v>39</v>
      </c>
      <c r="B72" s="1795" t="s">
        <v>84</v>
      </c>
      <c r="C72" s="154">
        <v>1243</v>
      </c>
      <c r="D72" s="154">
        <v>-22</v>
      </c>
      <c r="E72" s="154">
        <v>-1.73913043478261</v>
      </c>
      <c r="F72" s="154">
        <v>11.7800844924902</v>
      </c>
    </row>
    <row r="73" spans="1:6" x14ac:dyDescent="0.3">
      <c r="A73" s="155" t="s">
        <v>39</v>
      </c>
      <c r="B73" s="1795" t="s">
        <v>85</v>
      </c>
      <c r="C73" s="156">
        <v>401</v>
      </c>
      <c r="D73" s="156">
        <v>19</v>
      </c>
      <c r="E73" s="156">
        <v>4.9738219895288003</v>
      </c>
      <c r="F73" s="156">
        <v>3.80033296982185</v>
      </c>
    </row>
    <row r="74" spans="1:6" x14ac:dyDescent="0.3">
      <c r="A74" s="157" t="s">
        <v>39</v>
      </c>
      <c r="B74" s="1797" t="s">
        <v>227</v>
      </c>
      <c r="C74" s="158">
        <v>31539</v>
      </c>
      <c r="D74" s="158">
        <v>1382</v>
      </c>
      <c r="E74" s="158">
        <v>4.5826839539742004</v>
      </c>
      <c r="F74" s="158">
        <v>298.89950507534002</v>
      </c>
    </row>
    <row r="75" spans="1:6" x14ac:dyDescent="0.3">
      <c r="A75" s="159" t="s">
        <v>39</v>
      </c>
      <c r="B75" s="1797" t="s">
        <v>967</v>
      </c>
      <c r="C75" s="160">
        <v>25483</v>
      </c>
      <c r="D75" s="160">
        <v>1240</v>
      </c>
      <c r="E75" s="160">
        <v>5.1148785216351103</v>
      </c>
      <c r="F75" s="160">
        <v>241.50594780541201</v>
      </c>
    </row>
    <row r="76" spans="1:6" x14ac:dyDescent="0.3">
      <c r="A76" s="161" t="s">
        <v>39</v>
      </c>
      <c r="B76" s="1795" t="s">
        <v>87</v>
      </c>
      <c r="C76" s="162">
        <v>3897</v>
      </c>
      <c r="D76" s="162">
        <v>29</v>
      </c>
      <c r="E76" s="162">
        <v>0.74974146845915202</v>
      </c>
      <c r="F76" s="162">
        <v>36.932412926173903</v>
      </c>
    </row>
    <row r="77" spans="1:6" x14ac:dyDescent="0.3">
      <c r="A77" s="163" t="s">
        <v>39</v>
      </c>
      <c r="B77" s="1795" t="s">
        <v>88</v>
      </c>
      <c r="C77" s="164">
        <v>21586</v>
      </c>
      <c r="D77" s="164">
        <v>1211</v>
      </c>
      <c r="E77" s="164">
        <v>5.9435582822085902</v>
      </c>
      <c r="F77" s="164">
        <v>204.573534879238</v>
      </c>
    </row>
    <row r="78" spans="1:6" x14ac:dyDescent="0.3">
      <c r="A78" s="165" t="s">
        <v>39</v>
      </c>
      <c r="B78" s="1797" t="s">
        <v>968</v>
      </c>
      <c r="C78" s="166">
        <v>6056</v>
      </c>
      <c r="D78" s="166">
        <v>142</v>
      </c>
      <c r="E78" s="166">
        <v>2.4010821778829898</v>
      </c>
      <c r="F78" s="166">
        <v>57.393557269928003</v>
      </c>
    </row>
    <row r="79" spans="1:6" x14ac:dyDescent="0.3">
      <c r="A79" s="167" t="s">
        <v>39</v>
      </c>
      <c r="B79" s="1795" t="s">
        <v>90</v>
      </c>
      <c r="C79" s="168">
        <v>3081</v>
      </c>
      <c r="D79" s="168">
        <v>114</v>
      </c>
      <c r="E79" s="168">
        <v>3.8422649140546001</v>
      </c>
      <c r="F79" s="168">
        <v>29.1990670324716</v>
      </c>
    </row>
    <row r="80" spans="1:6" x14ac:dyDescent="0.3">
      <c r="A80" s="169" t="s">
        <v>39</v>
      </c>
      <c r="B80" s="1795" t="s">
        <v>91</v>
      </c>
      <c r="C80" s="170">
        <v>2975</v>
      </c>
      <c r="D80" s="170">
        <v>28</v>
      </c>
      <c r="E80" s="170">
        <v>0.95011876484560598</v>
      </c>
      <c r="F80" s="170">
        <v>28.194490237456399</v>
      </c>
    </row>
    <row r="81" spans="1:6" x14ac:dyDescent="0.3">
      <c r="A81" s="171" t="s">
        <v>39</v>
      </c>
      <c r="B81" s="1797" t="s">
        <v>235</v>
      </c>
      <c r="C81" s="172">
        <v>31066</v>
      </c>
      <c r="D81" s="172">
        <v>551</v>
      </c>
      <c r="E81" s="172">
        <v>1.8056693429460899</v>
      </c>
      <c r="F81" s="172">
        <v>294.41681805607402</v>
      </c>
    </row>
    <row r="82" spans="1:6" x14ac:dyDescent="0.3">
      <c r="A82" s="173" t="s">
        <v>39</v>
      </c>
      <c r="B82" s="1797" t="s">
        <v>969</v>
      </c>
      <c r="C82" s="174">
        <v>13762</v>
      </c>
      <c r="D82" s="174">
        <v>565</v>
      </c>
      <c r="E82" s="174">
        <v>4.2812760475865703</v>
      </c>
      <c r="F82" s="174">
        <v>130.42439483962201</v>
      </c>
    </row>
    <row r="83" spans="1:6" x14ac:dyDescent="0.3">
      <c r="A83" s="175" t="s">
        <v>39</v>
      </c>
      <c r="B83" s="1795" t="s">
        <v>93</v>
      </c>
      <c r="C83" s="176">
        <v>4394</v>
      </c>
      <c r="D83" s="176">
        <v>99</v>
      </c>
      <c r="E83" s="176">
        <v>2.3050058207217701</v>
      </c>
      <c r="F83" s="176">
        <v>41.642551295254897</v>
      </c>
    </row>
    <row r="84" spans="1:6" x14ac:dyDescent="0.3">
      <c r="A84" s="177" t="s">
        <v>39</v>
      </c>
      <c r="B84" s="1795" t="s">
        <v>94</v>
      </c>
      <c r="C84" s="178">
        <v>9368</v>
      </c>
      <c r="D84" s="178">
        <v>466</v>
      </c>
      <c r="E84" s="178">
        <v>5.2347787014154097</v>
      </c>
      <c r="F84" s="178">
        <v>88.781843544366794</v>
      </c>
    </row>
    <row r="85" spans="1:6" x14ac:dyDescent="0.3">
      <c r="A85" s="179" t="s">
        <v>39</v>
      </c>
      <c r="B85" s="1797" t="s">
        <v>970</v>
      </c>
      <c r="C85" s="180">
        <v>17304</v>
      </c>
      <c r="D85" s="180">
        <v>-14</v>
      </c>
      <c r="E85" s="180">
        <v>-8.0840743734842402E-2</v>
      </c>
      <c r="F85" s="180">
        <v>163.99242321645201</v>
      </c>
    </row>
    <row r="86" spans="1:6" x14ac:dyDescent="0.3">
      <c r="A86" s="181" t="s">
        <v>39</v>
      </c>
      <c r="B86" s="1795" t="s">
        <v>96</v>
      </c>
      <c r="C86" s="182">
        <v>11825</v>
      </c>
      <c r="D86" s="182">
        <v>100</v>
      </c>
      <c r="E86" s="182">
        <v>0.85287846481876295</v>
      </c>
      <c r="F86" s="182">
        <v>112.067175481654</v>
      </c>
    </row>
    <row r="87" spans="1:6" x14ac:dyDescent="0.3">
      <c r="A87" s="183" t="s">
        <v>39</v>
      </c>
      <c r="B87" s="1795" t="s">
        <v>97</v>
      </c>
      <c r="C87" s="184">
        <v>5479</v>
      </c>
      <c r="D87" s="184">
        <v>-114</v>
      </c>
      <c r="E87" s="184">
        <v>-2.0382621133559802</v>
      </c>
      <c r="F87" s="184">
        <v>51.9252477347978</v>
      </c>
    </row>
    <row r="88" spans="1:6" x14ac:dyDescent="0.3">
      <c r="A88" s="185" t="s">
        <v>98</v>
      </c>
      <c r="B88" s="1795" t="s">
        <v>99</v>
      </c>
      <c r="C88" s="186">
        <v>342</v>
      </c>
      <c r="D88" s="186">
        <v>-14</v>
      </c>
      <c r="E88" s="186">
        <v>-3.9325842696629199</v>
      </c>
      <c r="F88" s="186">
        <v>3.2411817348605299</v>
      </c>
    </row>
    <row r="89" spans="1:6" x14ac:dyDescent="0.3">
      <c r="A89" s="187" t="s">
        <v>98</v>
      </c>
      <c r="B89" s="1795" t="s">
        <v>100</v>
      </c>
      <c r="C89" s="188">
        <v>118</v>
      </c>
      <c r="D89" s="188">
        <v>14</v>
      </c>
      <c r="E89" s="188">
        <v>13.461538461538501</v>
      </c>
      <c r="F89" s="188">
        <v>1.11830246992264</v>
      </c>
    </row>
    <row r="90" spans="1:6" x14ac:dyDescent="0.3">
      <c r="A90" s="189" t="s">
        <v>98</v>
      </c>
      <c r="B90" s="1795" t="s">
        <v>101</v>
      </c>
      <c r="C90" s="190">
        <v>39</v>
      </c>
      <c r="D90" s="190">
        <v>-16</v>
      </c>
      <c r="E90" s="190">
        <v>-29.090909090909101</v>
      </c>
      <c r="F90" s="190">
        <v>0.36960844344900801</v>
      </c>
    </row>
    <row r="91" spans="1:6" x14ac:dyDescent="0.3">
      <c r="A91" s="191" t="s">
        <v>98</v>
      </c>
      <c r="B91" s="1795" t="s">
        <v>102</v>
      </c>
      <c r="C91" s="192">
        <v>185</v>
      </c>
      <c r="D91" s="192">
        <v>-12</v>
      </c>
      <c r="E91" s="192">
        <v>-6.0913705583756403</v>
      </c>
      <c r="F91" s="192">
        <v>1.7532708214888799</v>
      </c>
    </row>
    <row r="92" spans="1:6" x14ac:dyDescent="0.3">
      <c r="A92" s="193" t="s">
        <v>103</v>
      </c>
      <c r="B92" s="1795" t="s">
        <v>104</v>
      </c>
      <c r="C92" s="194">
        <v>3922</v>
      </c>
      <c r="D92" s="194">
        <v>252</v>
      </c>
      <c r="E92" s="194">
        <v>6.8664850136239801</v>
      </c>
      <c r="F92" s="194">
        <v>37.169341415564297</v>
      </c>
    </row>
    <row r="93" spans="1:6" x14ac:dyDescent="0.3">
      <c r="A93" s="195" t="s">
        <v>103</v>
      </c>
      <c r="B93" s="1795" t="s">
        <v>101</v>
      </c>
      <c r="C93" s="196">
        <v>1784</v>
      </c>
      <c r="D93" s="196">
        <v>-97</v>
      </c>
      <c r="E93" s="196">
        <v>-5.1568314726209499</v>
      </c>
      <c r="F93" s="196">
        <v>16.9072170028982</v>
      </c>
    </row>
    <row r="94" spans="1:6" x14ac:dyDescent="0.3">
      <c r="A94" s="197" t="s">
        <v>103</v>
      </c>
      <c r="B94" s="1795" t="s">
        <v>102</v>
      </c>
      <c r="C94" s="198">
        <v>2138</v>
      </c>
      <c r="D94" s="198">
        <v>349</v>
      </c>
      <c r="E94" s="198">
        <v>19.508105086640601</v>
      </c>
      <c r="F94" s="198">
        <v>20.2621244126661</v>
      </c>
    </row>
    <row r="95" spans="1:6" x14ac:dyDescent="0.3">
      <c r="A95" s="199" t="s">
        <v>105</v>
      </c>
      <c r="B95" s="1795" t="s">
        <v>106</v>
      </c>
      <c r="C95" s="200">
        <v>1003</v>
      </c>
      <c r="D95" s="200">
        <v>-69</v>
      </c>
      <c r="E95" s="200">
        <v>-6.4365671641791096</v>
      </c>
      <c r="F95" s="200">
        <v>9.5055709943424294</v>
      </c>
    </row>
    <row r="96" spans="1:6" x14ac:dyDescent="0.3">
      <c r="A96" s="201" t="s">
        <v>105</v>
      </c>
      <c r="B96" s="1795" t="s">
        <v>107</v>
      </c>
      <c r="C96" s="202">
        <v>113</v>
      </c>
      <c r="D96" s="202">
        <v>-17</v>
      </c>
      <c r="E96" s="202">
        <v>-13.0769230769231</v>
      </c>
      <c r="F96" s="202">
        <v>1.07091677204456</v>
      </c>
    </row>
    <row r="97" spans="1:6" x14ac:dyDescent="0.3">
      <c r="A97" s="203" t="s">
        <v>105</v>
      </c>
      <c r="B97" s="1795" t="s">
        <v>102</v>
      </c>
      <c r="C97" s="204">
        <v>890</v>
      </c>
      <c r="D97" s="204">
        <v>-52</v>
      </c>
      <c r="E97" s="204">
        <v>-5.5201698513800403</v>
      </c>
      <c r="F97" s="204">
        <v>8.4346542222978709</v>
      </c>
    </row>
    <row r="98" spans="1:6" x14ac:dyDescent="0.3">
      <c r="A98" s="205" t="s">
        <v>108</v>
      </c>
      <c r="B98" s="19" t="s">
        <v>109</v>
      </c>
      <c r="C98" s="206">
        <v>175305</v>
      </c>
      <c r="D98" s="206">
        <v>9832</v>
      </c>
      <c r="E98" s="206">
        <v>5.9417548482229696</v>
      </c>
      <c r="F98" s="206">
        <v>1661.38995330329</v>
      </c>
    </row>
    <row r="99" spans="1:6" x14ac:dyDescent="0.3">
      <c r="A99" s="207" t="s">
        <v>110</v>
      </c>
      <c r="B99" s="1795" t="s">
        <v>111</v>
      </c>
      <c r="C99" s="208">
        <v>471</v>
      </c>
      <c r="D99" s="208">
        <v>4</v>
      </c>
      <c r="E99" s="208">
        <v>0.85653104925053503</v>
      </c>
      <c r="F99" s="208">
        <v>4.4637327401149403</v>
      </c>
    </row>
    <row r="100" spans="1:6" x14ac:dyDescent="0.3">
      <c r="A100" s="209" t="s">
        <v>112</v>
      </c>
      <c r="B100" s="1795" t="s">
        <v>113</v>
      </c>
      <c r="C100" s="210">
        <v>184</v>
      </c>
      <c r="D100" s="210">
        <v>-42</v>
      </c>
      <c r="E100" s="210">
        <v>-18.5840707964602</v>
      </c>
      <c r="F100" s="210">
        <v>1.74379368191327</v>
      </c>
    </row>
    <row r="101" spans="1:6" x14ac:dyDescent="0.3">
      <c r="A101" s="211" t="s">
        <v>112</v>
      </c>
      <c r="B101" s="1797" t="s">
        <v>971</v>
      </c>
      <c r="C101" s="212">
        <v>93</v>
      </c>
      <c r="D101" s="212">
        <v>-17</v>
      </c>
      <c r="E101" s="212">
        <v>-15.454545454545499</v>
      </c>
      <c r="F101" s="212">
        <v>0.88137398053224902</v>
      </c>
    </row>
    <row r="102" spans="1:6" x14ac:dyDescent="0.3">
      <c r="A102" s="213" t="s">
        <v>112</v>
      </c>
      <c r="B102" s="1795" t="s">
        <v>115</v>
      </c>
      <c r="C102" s="214">
        <v>10</v>
      </c>
      <c r="D102" s="214">
        <v>1</v>
      </c>
      <c r="E102" s="214">
        <v>11.1111111111111</v>
      </c>
      <c r="F102" s="214">
        <v>9.4771395756155896E-2</v>
      </c>
    </row>
    <row r="103" spans="1:6" x14ac:dyDescent="0.3">
      <c r="A103" s="215" t="s">
        <v>112</v>
      </c>
      <c r="B103" s="1795" t="s">
        <v>116</v>
      </c>
      <c r="C103" s="216">
        <v>83</v>
      </c>
      <c r="D103" s="216">
        <v>-18</v>
      </c>
      <c r="E103" s="216">
        <v>-17.821782178217799</v>
      </c>
      <c r="F103" s="216">
        <v>0.78660258477609402</v>
      </c>
    </row>
    <row r="104" spans="1:6" x14ac:dyDescent="0.3">
      <c r="A104" s="217" t="s">
        <v>112</v>
      </c>
      <c r="B104" s="1797" t="s">
        <v>972</v>
      </c>
      <c r="C104" s="218">
        <v>34</v>
      </c>
      <c r="D104" s="218">
        <v>-14</v>
      </c>
      <c r="E104" s="218">
        <v>-29.1666666666667</v>
      </c>
      <c r="F104" s="218">
        <v>0.32222274557093</v>
      </c>
    </row>
    <row r="105" spans="1:6" x14ac:dyDescent="0.3">
      <c r="A105" s="219" t="s">
        <v>112</v>
      </c>
      <c r="B105" s="1795" t="s">
        <v>118</v>
      </c>
      <c r="C105" s="220">
        <v>2</v>
      </c>
      <c r="D105" s="220">
        <v>1</v>
      </c>
      <c r="E105" s="220">
        <v>100</v>
      </c>
      <c r="F105" s="220">
        <v>1.8954279151231199E-2</v>
      </c>
    </row>
    <row r="106" spans="1:6" x14ac:dyDescent="0.3">
      <c r="A106" s="221" t="s">
        <v>112</v>
      </c>
      <c r="B106" s="1795" t="s">
        <v>119</v>
      </c>
      <c r="C106" s="222">
        <v>32</v>
      </c>
      <c r="D106" s="222">
        <v>-15</v>
      </c>
      <c r="E106" s="222">
        <v>-31.914893617021299</v>
      </c>
      <c r="F106" s="222">
        <v>0.30326846641969901</v>
      </c>
    </row>
    <row r="107" spans="1:6" x14ac:dyDescent="0.3">
      <c r="A107" s="223" t="s">
        <v>112</v>
      </c>
      <c r="B107" s="1797" t="s">
        <v>973</v>
      </c>
      <c r="C107" s="224">
        <v>2</v>
      </c>
      <c r="D107" s="224">
        <v>1</v>
      </c>
      <c r="E107" s="224">
        <v>100</v>
      </c>
      <c r="F107" s="224">
        <v>1.8954279151231199E-2</v>
      </c>
    </row>
    <row r="108" spans="1:6" x14ac:dyDescent="0.3">
      <c r="A108" s="225" t="s">
        <v>112</v>
      </c>
      <c r="B108" s="1795" t="s">
        <v>121</v>
      </c>
      <c r="C108" s="226">
        <v>1</v>
      </c>
      <c r="D108" s="226">
        <v>1</v>
      </c>
      <c r="E108" s="226" t="s">
        <v>38</v>
      </c>
      <c r="F108" s="226">
        <v>9.4771395756155907E-3</v>
      </c>
    </row>
    <row r="109" spans="1:6" x14ac:dyDescent="0.3">
      <c r="A109" s="227" t="s">
        <v>112</v>
      </c>
      <c r="B109" s="1795" t="s">
        <v>122</v>
      </c>
      <c r="C109" s="228">
        <v>1</v>
      </c>
      <c r="D109" s="228">
        <v>0</v>
      </c>
      <c r="E109" s="228">
        <v>0</v>
      </c>
      <c r="F109" s="228">
        <v>9.4771395756155907E-3</v>
      </c>
    </row>
    <row r="110" spans="1:6" x14ac:dyDescent="0.3">
      <c r="A110" s="229" t="s">
        <v>112</v>
      </c>
      <c r="B110" s="1797" t="s">
        <v>974</v>
      </c>
      <c r="C110" s="230">
        <v>0</v>
      </c>
      <c r="D110" s="230">
        <v>-1</v>
      </c>
      <c r="E110" s="230">
        <v>-100</v>
      </c>
      <c r="F110" s="230">
        <v>0</v>
      </c>
    </row>
    <row r="111" spans="1:6" x14ac:dyDescent="0.3">
      <c r="A111" s="231" t="s">
        <v>112</v>
      </c>
      <c r="B111" s="1795" t="s">
        <v>124</v>
      </c>
      <c r="C111" s="232">
        <v>0</v>
      </c>
      <c r="D111" s="232">
        <v>0</v>
      </c>
      <c r="E111" s="232" t="s">
        <v>38</v>
      </c>
      <c r="F111" s="232">
        <v>0</v>
      </c>
    </row>
    <row r="112" spans="1:6" x14ac:dyDescent="0.3">
      <c r="A112" s="233" t="s">
        <v>112</v>
      </c>
      <c r="B112" s="1795" t="s">
        <v>125</v>
      </c>
      <c r="C112" s="234">
        <v>0</v>
      </c>
      <c r="D112" s="234">
        <v>-1</v>
      </c>
      <c r="E112" s="234">
        <v>-100</v>
      </c>
      <c r="F112" s="234">
        <v>0</v>
      </c>
    </row>
    <row r="113" spans="1:6" x14ac:dyDescent="0.3">
      <c r="A113" s="235" t="s">
        <v>112</v>
      </c>
      <c r="B113" s="1797" t="s">
        <v>975</v>
      </c>
      <c r="C113" s="236">
        <v>0</v>
      </c>
      <c r="D113" s="236">
        <v>0</v>
      </c>
      <c r="E113" s="236" t="s">
        <v>38</v>
      </c>
      <c r="F113" s="236">
        <v>0</v>
      </c>
    </row>
    <row r="114" spans="1:6" x14ac:dyDescent="0.3">
      <c r="A114" s="237" t="s">
        <v>112</v>
      </c>
      <c r="B114" s="1795" t="s">
        <v>127</v>
      </c>
      <c r="C114" s="238">
        <v>0</v>
      </c>
      <c r="D114" s="238">
        <v>0</v>
      </c>
      <c r="E114" s="238" t="s">
        <v>38</v>
      </c>
      <c r="F114" s="238">
        <v>0</v>
      </c>
    </row>
    <row r="115" spans="1:6" x14ac:dyDescent="0.3">
      <c r="A115" s="239" t="s">
        <v>112</v>
      </c>
      <c r="B115" s="1795" t="s">
        <v>128</v>
      </c>
      <c r="C115" s="240">
        <v>0</v>
      </c>
      <c r="D115" s="240">
        <v>0</v>
      </c>
      <c r="E115" s="240" t="s">
        <v>38</v>
      </c>
      <c r="F115" s="240">
        <v>0</v>
      </c>
    </row>
    <row r="116" spans="1:6" x14ac:dyDescent="0.3">
      <c r="A116" s="241" t="s">
        <v>112</v>
      </c>
      <c r="B116" s="1797" t="s">
        <v>976</v>
      </c>
      <c r="C116" s="242">
        <v>55</v>
      </c>
      <c r="D116" s="242">
        <v>-11</v>
      </c>
      <c r="E116" s="242">
        <v>-16.6666666666667</v>
      </c>
      <c r="F116" s="242">
        <v>0.52124267665885704</v>
      </c>
    </row>
    <row r="117" spans="1:6" x14ac:dyDescent="0.3">
      <c r="A117" s="243" t="s">
        <v>112</v>
      </c>
      <c r="B117" s="1795" t="s">
        <v>130</v>
      </c>
      <c r="C117" s="244">
        <v>9</v>
      </c>
      <c r="D117" s="244">
        <v>-1</v>
      </c>
      <c r="E117" s="244">
        <v>-10</v>
      </c>
      <c r="F117" s="244">
        <v>8.5294256180540304E-2</v>
      </c>
    </row>
    <row r="118" spans="1:6" x14ac:dyDescent="0.3">
      <c r="A118" s="245" t="s">
        <v>112</v>
      </c>
      <c r="B118" s="1795" t="s">
        <v>131</v>
      </c>
      <c r="C118" s="246">
        <v>46</v>
      </c>
      <c r="D118" s="246">
        <v>-10</v>
      </c>
      <c r="E118" s="246">
        <v>-17.8571428571429</v>
      </c>
      <c r="F118" s="246">
        <v>0.435948420478317</v>
      </c>
    </row>
    <row r="119" spans="1:6" x14ac:dyDescent="0.3">
      <c r="A119" s="247" t="s">
        <v>132</v>
      </c>
      <c r="B119" s="1795" t="s">
        <v>133</v>
      </c>
      <c r="C119" s="248">
        <v>160</v>
      </c>
      <c r="D119" s="248">
        <v>29</v>
      </c>
      <c r="E119" s="248">
        <v>22.137404580152701</v>
      </c>
      <c r="F119" s="248">
        <v>1.5163423320984899</v>
      </c>
    </row>
    <row r="120" spans="1:6" x14ac:dyDescent="0.3">
      <c r="A120" s="249" t="s">
        <v>132</v>
      </c>
      <c r="B120" s="1795" t="s">
        <v>117</v>
      </c>
      <c r="C120" s="250">
        <v>150</v>
      </c>
      <c r="D120" s="250">
        <v>26</v>
      </c>
      <c r="E120" s="250">
        <v>20.9677419354839</v>
      </c>
      <c r="F120" s="250">
        <v>1.4215709363423401</v>
      </c>
    </row>
    <row r="121" spans="1:6" x14ac:dyDescent="0.3">
      <c r="A121" s="251" t="s">
        <v>132</v>
      </c>
      <c r="B121" s="1795" t="s">
        <v>118</v>
      </c>
      <c r="C121" s="252">
        <v>3</v>
      </c>
      <c r="D121" s="252">
        <v>-2</v>
      </c>
      <c r="E121" s="252">
        <v>-40</v>
      </c>
      <c r="F121" s="252">
        <v>2.8431418726846801E-2</v>
      </c>
    </row>
    <row r="122" spans="1:6" x14ac:dyDescent="0.3">
      <c r="A122" s="253" t="s">
        <v>132</v>
      </c>
      <c r="B122" s="1795" t="s">
        <v>119</v>
      </c>
      <c r="C122" s="254">
        <v>147</v>
      </c>
      <c r="D122" s="254">
        <v>28</v>
      </c>
      <c r="E122" s="254">
        <v>23.529411764705898</v>
      </c>
      <c r="F122" s="254">
        <v>1.3931395176154899</v>
      </c>
    </row>
    <row r="123" spans="1:6" x14ac:dyDescent="0.3">
      <c r="A123" s="255" t="s">
        <v>132</v>
      </c>
      <c r="B123" s="1795" t="s">
        <v>120</v>
      </c>
      <c r="C123" s="256">
        <v>10</v>
      </c>
      <c r="D123" s="256">
        <v>3</v>
      </c>
      <c r="E123" s="256">
        <v>42.857142857142897</v>
      </c>
      <c r="F123" s="256">
        <v>9.4771395756155896E-2</v>
      </c>
    </row>
    <row r="124" spans="1:6" x14ac:dyDescent="0.3">
      <c r="A124" s="257" t="s">
        <v>132</v>
      </c>
      <c r="B124" s="1795" t="s">
        <v>121</v>
      </c>
      <c r="C124" s="258">
        <v>1</v>
      </c>
      <c r="D124" s="258">
        <v>-1</v>
      </c>
      <c r="E124" s="258">
        <v>-50</v>
      </c>
      <c r="F124" s="258">
        <v>9.4771395756155907E-3</v>
      </c>
    </row>
    <row r="125" spans="1:6" x14ac:dyDescent="0.3">
      <c r="A125" s="259" t="s">
        <v>132</v>
      </c>
      <c r="B125" s="1795" t="s">
        <v>122</v>
      </c>
      <c r="C125" s="260">
        <v>9</v>
      </c>
      <c r="D125" s="260">
        <v>4</v>
      </c>
      <c r="E125" s="260">
        <v>80</v>
      </c>
      <c r="F125" s="260">
        <v>8.5294256180540304E-2</v>
      </c>
    </row>
    <row r="126" spans="1:6" x14ac:dyDescent="0.3">
      <c r="A126" s="261" t="s">
        <v>134</v>
      </c>
      <c r="B126" s="1795" t="s">
        <v>135</v>
      </c>
      <c r="C126" s="262">
        <v>1587</v>
      </c>
      <c r="D126" s="262">
        <v>-54</v>
      </c>
      <c r="E126" s="262">
        <v>-3.2906764168190099</v>
      </c>
      <c r="F126" s="262">
        <v>15.0402205065019</v>
      </c>
    </row>
    <row r="127" spans="1:6" x14ac:dyDescent="0.3">
      <c r="A127" s="263" t="s">
        <v>134</v>
      </c>
      <c r="B127" s="1797" t="s">
        <v>800</v>
      </c>
      <c r="C127" s="264">
        <v>510</v>
      </c>
      <c r="D127" s="264">
        <v>55</v>
      </c>
      <c r="E127" s="264">
        <v>12.0879120879121</v>
      </c>
      <c r="F127" s="264">
        <v>4.8333411835639497</v>
      </c>
    </row>
    <row r="128" spans="1:6" x14ac:dyDescent="0.3">
      <c r="A128" s="265" t="s">
        <v>134</v>
      </c>
      <c r="B128" s="1795" t="s">
        <v>24</v>
      </c>
      <c r="C128" s="266">
        <v>249</v>
      </c>
      <c r="D128" s="266">
        <v>25</v>
      </c>
      <c r="E128" s="266">
        <v>11.160714285714301</v>
      </c>
      <c r="F128" s="266">
        <v>2.3598077543282798</v>
      </c>
    </row>
    <row r="129" spans="1:6" x14ac:dyDescent="0.3">
      <c r="A129" s="267" t="s">
        <v>134</v>
      </c>
      <c r="B129" s="1795" t="s">
        <v>25</v>
      </c>
      <c r="C129" s="268">
        <v>261</v>
      </c>
      <c r="D129" s="268">
        <v>30</v>
      </c>
      <c r="E129" s="268">
        <v>12.987012987012999</v>
      </c>
      <c r="F129" s="268">
        <v>2.4735334292356699</v>
      </c>
    </row>
    <row r="130" spans="1:6" x14ac:dyDescent="0.3">
      <c r="A130" s="269" t="s">
        <v>134</v>
      </c>
      <c r="B130" s="1797" t="s">
        <v>227</v>
      </c>
      <c r="C130" s="270">
        <v>718</v>
      </c>
      <c r="D130" s="270">
        <v>-54</v>
      </c>
      <c r="E130" s="270">
        <v>-6.99481865284974</v>
      </c>
      <c r="F130" s="270">
        <v>6.80458621529199</v>
      </c>
    </row>
    <row r="131" spans="1:6" x14ac:dyDescent="0.3">
      <c r="A131" s="271" t="s">
        <v>134</v>
      </c>
      <c r="B131" s="1795" t="s">
        <v>27</v>
      </c>
      <c r="C131" s="272">
        <v>354</v>
      </c>
      <c r="D131" s="272">
        <v>18</v>
      </c>
      <c r="E131" s="272">
        <v>5.3571428571428603</v>
      </c>
      <c r="F131" s="272">
        <v>3.3549074097679199</v>
      </c>
    </row>
    <row r="132" spans="1:6" x14ac:dyDescent="0.3">
      <c r="A132" s="273" t="s">
        <v>134</v>
      </c>
      <c r="B132" s="1795" t="s">
        <v>28</v>
      </c>
      <c r="C132" s="274">
        <v>62</v>
      </c>
      <c r="D132" s="274">
        <v>-10</v>
      </c>
      <c r="E132" s="274">
        <v>-13.8888888888889</v>
      </c>
      <c r="F132" s="274">
        <v>0.58758265368816598</v>
      </c>
    </row>
    <row r="133" spans="1:6" x14ac:dyDescent="0.3">
      <c r="A133" s="275" t="s">
        <v>134</v>
      </c>
      <c r="B133" s="1795" t="s">
        <v>29</v>
      </c>
      <c r="C133" s="276">
        <v>160</v>
      </c>
      <c r="D133" s="276">
        <v>9</v>
      </c>
      <c r="E133" s="276">
        <v>5.9602649006622501</v>
      </c>
      <c r="F133" s="276">
        <v>1.5163423320984899</v>
      </c>
    </row>
    <row r="134" spans="1:6" x14ac:dyDescent="0.3">
      <c r="A134" s="277" t="s">
        <v>134</v>
      </c>
      <c r="B134" s="1795" t="s">
        <v>30</v>
      </c>
      <c r="C134" s="278">
        <v>142</v>
      </c>
      <c r="D134" s="278">
        <v>-71</v>
      </c>
      <c r="E134" s="278">
        <v>-33.3333333333333</v>
      </c>
      <c r="F134" s="278">
        <v>1.3457538197374099</v>
      </c>
    </row>
    <row r="135" spans="1:6" x14ac:dyDescent="0.3">
      <c r="A135" s="279" t="s">
        <v>134</v>
      </c>
      <c r="B135" s="1797" t="s">
        <v>235</v>
      </c>
      <c r="C135" s="280">
        <v>359</v>
      </c>
      <c r="D135" s="280">
        <v>-55</v>
      </c>
      <c r="E135" s="280">
        <v>-13.285024154589401</v>
      </c>
      <c r="F135" s="280">
        <v>3.4022931076459999</v>
      </c>
    </row>
    <row r="136" spans="1:6" x14ac:dyDescent="0.3">
      <c r="A136" s="281" t="s">
        <v>134</v>
      </c>
      <c r="B136" s="1795" t="s">
        <v>32</v>
      </c>
      <c r="C136" s="282">
        <v>27</v>
      </c>
      <c r="D136" s="282">
        <v>5</v>
      </c>
      <c r="E136" s="282">
        <v>22.727272727272702</v>
      </c>
      <c r="F136" s="282">
        <v>0.25588276854162101</v>
      </c>
    </row>
    <row r="137" spans="1:6" x14ac:dyDescent="0.3">
      <c r="A137" s="283" t="s">
        <v>134</v>
      </c>
      <c r="B137" s="1795" t="s">
        <v>33</v>
      </c>
      <c r="C137" s="284">
        <v>26</v>
      </c>
      <c r="D137" s="284">
        <v>-2</v>
      </c>
      <c r="E137" s="284">
        <v>-7.1428571428571397</v>
      </c>
      <c r="F137" s="284">
        <v>0.24640562896600501</v>
      </c>
    </row>
    <row r="138" spans="1:6" x14ac:dyDescent="0.3">
      <c r="A138" s="285" t="s">
        <v>134</v>
      </c>
      <c r="B138" s="1795" t="s">
        <v>34</v>
      </c>
      <c r="C138" s="286">
        <v>94</v>
      </c>
      <c r="D138" s="286">
        <v>-13</v>
      </c>
      <c r="E138" s="286">
        <v>-12.1495327102804</v>
      </c>
      <c r="F138" s="286">
        <v>0.89085112010786505</v>
      </c>
    </row>
    <row r="139" spans="1:6" x14ac:dyDescent="0.3">
      <c r="A139" s="287" t="s">
        <v>134</v>
      </c>
      <c r="B139" s="1795" t="s">
        <v>35</v>
      </c>
      <c r="C139" s="288">
        <v>212</v>
      </c>
      <c r="D139" s="288">
        <v>-45</v>
      </c>
      <c r="E139" s="288">
        <v>-17.5097276264591</v>
      </c>
      <c r="F139" s="288">
        <v>2.0091535900305</v>
      </c>
    </row>
    <row r="140" spans="1:6" x14ac:dyDescent="0.3">
      <c r="A140" s="289" t="s">
        <v>136</v>
      </c>
      <c r="B140" s="1795" t="s">
        <v>137</v>
      </c>
      <c r="C140" s="290">
        <v>11752</v>
      </c>
      <c r="D140" s="290">
        <v>1072</v>
      </c>
      <c r="E140" s="290">
        <v>10.037453183520601</v>
      </c>
      <c r="F140" s="290">
        <v>111.375344292634</v>
      </c>
    </row>
    <row r="141" spans="1:6" x14ac:dyDescent="0.3">
      <c r="A141" s="291" t="s">
        <v>136</v>
      </c>
      <c r="B141" s="1795" t="s">
        <v>24</v>
      </c>
      <c r="C141" s="292">
        <v>5862</v>
      </c>
      <c r="D141" s="292">
        <v>702</v>
      </c>
      <c r="E141" s="292">
        <v>13.604651162790701</v>
      </c>
      <c r="F141" s="292">
        <v>55.554992192258602</v>
      </c>
    </row>
    <row r="142" spans="1:6" x14ac:dyDescent="0.3">
      <c r="A142" s="293" t="s">
        <v>136</v>
      </c>
      <c r="B142" s="1795" t="s">
        <v>25</v>
      </c>
      <c r="C142" s="294">
        <v>5890</v>
      </c>
      <c r="D142" s="294">
        <v>370</v>
      </c>
      <c r="E142" s="294">
        <v>6.7028985507246404</v>
      </c>
      <c r="F142" s="294">
        <v>55.8203521003758</v>
      </c>
    </row>
    <row r="143" spans="1:6" x14ac:dyDescent="0.3">
      <c r="A143" s="295" t="s">
        <v>138</v>
      </c>
      <c r="B143" s="1795" t="s">
        <v>139</v>
      </c>
      <c r="C143" s="296">
        <v>1114</v>
      </c>
      <c r="D143" s="296">
        <v>-13</v>
      </c>
      <c r="E143" s="296">
        <v>-1.1535048802129499</v>
      </c>
      <c r="F143" s="296">
        <v>10.5575334872358</v>
      </c>
    </row>
    <row r="144" spans="1:6" x14ac:dyDescent="0.3">
      <c r="A144" s="297" t="s">
        <v>138</v>
      </c>
      <c r="B144" s="1795" t="s">
        <v>23</v>
      </c>
      <c r="C144" s="298">
        <v>416</v>
      </c>
      <c r="D144" s="298">
        <v>14</v>
      </c>
      <c r="E144" s="298">
        <v>3.4825870646766202</v>
      </c>
      <c r="F144" s="298">
        <v>3.9424900634560802</v>
      </c>
    </row>
    <row r="145" spans="1:6" x14ac:dyDescent="0.3">
      <c r="A145" s="299" t="s">
        <v>138</v>
      </c>
      <c r="B145" s="1795" t="s">
        <v>24</v>
      </c>
      <c r="C145" s="300">
        <v>154</v>
      </c>
      <c r="D145" s="300">
        <v>13</v>
      </c>
      <c r="E145" s="300">
        <v>9.2198581560283692</v>
      </c>
      <c r="F145" s="300">
        <v>1.4594794946448</v>
      </c>
    </row>
    <row r="146" spans="1:6" x14ac:dyDescent="0.3">
      <c r="A146" s="301" t="s">
        <v>138</v>
      </c>
      <c r="B146" s="1795" t="s">
        <v>25</v>
      </c>
      <c r="C146" s="302">
        <v>262</v>
      </c>
      <c r="D146" s="302">
        <v>1</v>
      </c>
      <c r="E146" s="302">
        <v>0.38314176245210702</v>
      </c>
      <c r="F146" s="302">
        <v>2.48301056881128</v>
      </c>
    </row>
    <row r="147" spans="1:6" x14ac:dyDescent="0.3">
      <c r="A147" s="303" t="s">
        <v>138</v>
      </c>
      <c r="B147" s="1795" t="s">
        <v>26</v>
      </c>
      <c r="C147" s="304">
        <v>353</v>
      </c>
      <c r="D147" s="304">
        <v>-17</v>
      </c>
      <c r="E147" s="304">
        <v>-4.5945945945945903</v>
      </c>
      <c r="F147" s="304">
        <v>3.3454302701923</v>
      </c>
    </row>
    <row r="148" spans="1:6" x14ac:dyDescent="0.3">
      <c r="A148" s="305" t="s">
        <v>138</v>
      </c>
      <c r="B148" s="1795" t="s">
        <v>27</v>
      </c>
      <c r="C148" s="306">
        <v>154</v>
      </c>
      <c r="D148" s="306">
        <v>-8</v>
      </c>
      <c r="E148" s="306">
        <v>-4.9382716049382704</v>
      </c>
      <c r="F148" s="306">
        <v>1.4594794946448</v>
      </c>
    </row>
    <row r="149" spans="1:6" x14ac:dyDescent="0.3">
      <c r="A149" s="307" t="s">
        <v>138</v>
      </c>
      <c r="B149" s="1795" t="s">
        <v>28</v>
      </c>
      <c r="C149" s="308">
        <v>24</v>
      </c>
      <c r="D149" s="308">
        <v>5</v>
      </c>
      <c r="E149" s="308">
        <v>26.315789473684202</v>
      </c>
      <c r="F149" s="308">
        <v>0.227451349814774</v>
      </c>
    </row>
    <row r="150" spans="1:6" x14ac:dyDescent="0.3">
      <c r="A150" s="309" t="s">
        <v>138</v>
      </c>
      <c r="B150" s="1795" t="s">
        <v>29</v>
      </c>
      <c r="C150" s="310">
        <v>90</v>
      </c>
      <c r="D150" s="310">
        <v>1</v>
      </c>
      <c r="E150" s="310">
        <v>1.1235955056179801</v>
      </c>
      <c r="F150" s="310">
        <v>0.85294256180540295</v>
      </c>
    </row>
    <row r="151" spans="1:6" x14ac:dyDescent="0.3">
      <c r="A151" s="311" t="s">
        <v>138</v>
      </c>
      <c r="B151" s="1795" t="s">
        <v>30</v>
      </c>
      <c r="C151" s="312">
        <v>85</v>
      </c>
      <c r="D151" s="312">
        <v>-15</v>
      </c>
      <c r="E151" s="312">
        <v>-15</v>
      </c>
      <c r="F151" s="312">
        <v>0.80555686392732495</v>
      </c>
    </row>
    <row r="152" spans="1:6" x14ac:dyDescent="0.3">
      <c r="A152" s="313" t="s">
        <v>138</v>
      </c>
      <c r="B152" s="1795" t="s">
        <v>31</v>
      </c>
      <c r="C152" s="314">
        <v>345</v>
      </c>
      <c r="D152" s="314">
        <v>-10</v>
      </c>
      <c r="E152" s="314">
        <v>-2.8169014084507</v>
      </c>
      <c r="F152" s="314">
        <v>3.2696131535873798</v>
      </c>
    </row>
    <row r="153" spans="1:6" x14ac:dyDescent="0.3">
      <c r="A153" s="315" t="s">
        <v>138</v>
      </c>
      <c r="B153" s="1795" t="s">
        <v>32</v>
      </c>
      <c r="C153" s="316">
        <v>20</v>
      </c>
      <c r="D153" s="316">
        <v>4</v>
      </c>
      <c r="E153" s="316">
        <v>25</v>
      </c>
      <c r="F153" s="316">
        <v>0.18954279151231199</v>
      </c>
    </row>
    <row r="154" spans="1:6" x14ac:dyDescent="0.3">
      <c r="A154" s="317" t="s">
        <v>138</v>
      </c>
      <c r="B154" s="1795" t="s">
        <v>33</v>
      </c>
      <c r="C154" s="318">
        <v>13</v>
      </c>
      <c r="D154" s="318">
        <v>-3</v>
      </c>
      <c r="E154" s="318">
        <v>-18.75</v>
      </c>
      <c r="F154" s="318">
        <v>0.12320281448300301</v>
      </c>
    </row>
    <row r="155" spans="1:6" x14ac:dyDescent="0.3">
      <c r="A155" s="319" t="s">
        <v>138</v>
      </c>
      <c r="B155" s="1795" t="s">
        <v>34</v>
      </c>
      <c r="C155" s="320">
        <v>120</v>
      </c>
      <c r="D155" s="320">
        <v>0</v>
      </c>
      <c r="E155" s="320">
        <v>0</v>
      </c>
      <c r="F155" s="320">
        <v>1.1372567490738701</v>
      </c>
    </row>
    <row r="156" spans="1:6" x14ac:dyDescent="0.3">
      <c r="A156" s="321" t="s">
        <v>138</v>
      </c>
      <c r="B156" s="1795" t="s">
        <v>35</v>
      </c>
      <c r="C156" s="322">
        <v>192</v>
      </c>
      <c r="D156" s="322">
        <v>-11</v>
      </c>
      <c r="E156" s="322">
        <v>-5.4187192118226601</v>
      </c>
      <c r="F156" s="322">
        <v>1.81961079851819</v>
      </c>
    </row>
    <row r="157" spans="1:6" x14ac:dyDescent="0.3">
      <c r="A157" s="323" t="s">
        <v>140</v>
      </c>
      <c r="B157" s="1795" t="s">
        <v>141</v>
      </c>
      <c r="C157" s="324">
        <v>813</v>
      </c>
      <c r="D157" s="324">
        <v>-142</v>
      </c>
      <c r="E157" s="324">
        <v>-14.869109947644001</v>
      </c>
      <c r="F157" s="324">
        <v>7.7049144749754701</v>
      </c>
    </row>
    <row r="158" spans="1:6" x14ac:dyDescent="0.3">
      <c r="A158" s="325" t="s">
        <v>140</v>
      </c>
      <c r="B158" s="1795" t="s">
        <v>23</v>
      </c>
      <c r="C158" s="326">
        <v>598</v>
      </c>
      <c r="D158" s="326">
        <v>-153</v>
      </c>
      <c r="E158" s="326">
        <v>-20.3728362183755</v>
      </c>
      <c r="F158" s="326">
        <v>5.6673294662181197</v>
      </c>
    </row>
    <row r="159" spans="1:6" x14ac:dyDescent="0.3">
      <c r="A159" s="327" t="s">
        <v>140</v>
      </c>
      <c r="B159" s="1795" t="s">
        <v>24</v>
      </c>
      <c r="C159" s="328">
        <v>313</v>
      </c>
      <c r="D159" s="328">
        <v>-66</v>
      </c>
      <c r="E159" s="328">
        <v>-17.4142480211082</v>
      </c>
      <c r="F159" s="328">
        <v>2.96634468716768</v>
      </c>
    </row>
    <row r="160" spans="1:6" x14ac:dyDescent="0.3">
      <c r="A160" s="329" t="s">
        <v>140</v>
      </c>
      <c r="B160" s="1795" t="s">
        <v>25</v>
      </c>
      <c r="C160" s="330">
        <v>285</v>
      </c>
      <c r="D160" s="330">
        <v>-87</v>
      </c>
      <c r="E160" s="330">
        <v>-23.387096774193498</v>
      </c>
      <c r="F160" s="330">
        <v>2.7009847790504402</v>
      </c>
    </row>
    <row r="161" spans="1:6" x14ac:dyDescent="0.3">
      <c r="A161" s="331" t="s">
        <v>140</v>
      </c>
      <c r="B161" s="1795" t="s">
        <v>26</v>
      </c>
      <c r="C161" s="332">
        <v>131</v>
      </c>
      <c r="D161" s="332">
        <v>3</v>
      </c>
      <c r="E161" s="332">
        <v>2.34375</v>
      </c>
      <c r="F161" s="332">
        <v>1.24150528440564</v>
      </c>
    </row>
    <row r="162" spans="1:6" x14ac:dyDescent="0.3">
      <c r="A162" s="333" t="s">
        <v>140</v>
      </c>
      <c r="B162" s="1795" t="s">
        <v>27</v>
      </c>
      <c r="C162" s="334">
        <v>94</v>
      </c>
      <c r="D162" s="334">
        <v>-1</v>
      </c>
      <c r="E162" s="334">
        <v>-1.0526315789473699</v>
      </c>
      <c r="F162" s="334">
        <v>0.89085112010786505</v>
      </c>
    </row>
    <row r="163" spans="1:6" x14ac:dyDescent="0.3">
      <c r="A163" s="335" t="s">
        <v>140</v>
      </c>
      <c r="B163" s="1795" t="s">
        <v>28</v>
      </c>
      <c r="C163" s="336">
        <v>37</v>
      </c>
      <c r="D163" s="336">
        <v>4</v>
      </c>
      <c r="E163" s="336">
        <v>12.1212121212121</v>
      </c>
      <c r="F163" s="336">
        <v>0.35065416429777702</v>
      </c>
    </row>
    <row r="164" spans="1:6" x14ac:dyDescent="0.3">
      <c r="A164" s="337" t="s">
        <v>140</v>
      </c>
      <c r="B164" s="1795" t="s">
        <v>31</v>
      </c>
      <c r="C164" s="338">
        <v>84</v>
      </c>
      <c r="D164" s="338">
        <v>8</v>
      </c>
      <c r="E164" s="338">
        <v>10.526315789473699</v>
      </c>
      <c r="F164" s="338">
        <v>0.79607972435170904</v>
      </c>
    </row>
    <row r="165" spans="1:6" x14ac:dyDescent="0.3">
      <c r="A165" s="339" t="s">
        <v>140</v>
      </c>
      <c r="B165" s="1795" t="s">
        <v>32</v>
      </c>
      <c r="C165" s="340">
        <v>66</v>
      </c>
      <c r="D165" s="340">
        <v>6</v>
      </c>
      <c r="E165" s="340">
        <v>10</v>
      </c>
      <c r="F165" s="340">
        <v>0.62549121199062896</v>
      </c>
    </row>
    <row r="166" spans="1:6" x14ac:dyDescent="0.3">
      <c r="A166" s="341" t="s">
        <v>140</v>
      </c>
      <c r="B166" s="1795" t="s">
        <v>33</v>
      </c>
      <c r="C166" s="342">
        <v>18</v>
      </c>
      <c r="D166" s="342">
        <v>2</v>
      </c>
      <c r="E166" s="342">
        <v>12.5</v>
      </c>
      <c r="F166" s="342">
        <v>0.170588512361081</v>
      </c>
    </row>
    <row r="167" spans="1:6" x14ac:dyDescent="0.3">
      <c r="A167" s="343" t="s">
        <v>142</v>
      </c>
      <c r="B167" s="1795" t="s">
        <v>143</v>
      </c>
      <c r="C167" s="344">
        <v>1040</v>
      </c>
      <c r="D167" s="344">
        <v>-79</v>
      </c>
      <c r="E167" s="344">
        <v>-7.0598748882931197</v>
      </c>
      <c r="F167" s="344">
        <v>9.8562251586402105</v>
      </c>
    </row>
    <row r="168" spans="1:6" x14ac:dyDescent="0.3">
      <c r="A168" s="345" t="s">
        <v>144</v>
      </c>
      <c r="B168" s="1795" t="s">
        <v>145</v>
      </c>
      <c r="C168" s="346">
        <v>560</v>
      </c>
      <c r="D168" s="346">
        <v>37</v>
      </c>
      <c r="E168" s="346">
        <v>7.0745697896749498</v>
      </c>
      <c r="F168" s="346">
        <v>5.3071981623447302</v>
      </c>
    </row>
    <row r="169" spans="1:6" x14ac:dyDescent="0.3">
      <c r="A169" s="347" t="s">
        <v>144</v>
      </c>
      <c r="B169" s="1795" t="s">
        <v>23</v>
      </c>
      <c r="C169" s="348">
        <v>26</v>
      </c>
      <c r="D169" s="348">
        <v>-3</v>
      </c>
      <c r="E169" s="348">
        <v>-10.3448275862069</v>
      </c>
      <c r="F169" s="348">
        <v>0.24640562896600501</v>
      </c>
    </row>
    <row r="170" spans="1:6" x14ac:dyDescent="0.3">
      <c r="A170" s="349" t="s">
        <v>144</v>
      </c>
      <c r="B170" s="1795" t="s">
        <v>24</v>
      </c>
      <c r="C170" s="350">
        <v>17</v>
      </c>
      <c r="D170" s="350">
        <v>-3</v>
      </c>
      <c r="E170" s="350">
        <v>-15</v>
      </c>
      <c r="F170" s="350">
        <v>0.161111372785465</v>
      </c>
    </row>
    <row r="171" spans="1:6" x14ac:dyDescent="0.3">
      <c r="A171" s="351" t="s">
        <v>144</v>
      </c>
      <c r="B171" s="1795" t="s">
        <v>25</v>
      </c>
      <c r="C171" s="352">
        <v>9</v>
      </c>
      <c r="D171" s="352">
        <v>0</v>
      </c>
      <c r="E171" s="352">
        <v>0</v>
      </c>
      <c r="F171" s="352">
        <v>8.5294256180540304E-2</v>
      </c>
    </row>
    <row r="172" spans="1:6" x14ac:dyDescent="0.3">
      <c r="A172" s="353" t="s">
        <v>144</v>
      </c>
      <c r="B172" s="1795" t="s">
        <v>26</v>
      </c>
      <c r="C172" s="354">
        <v>387</v>
      </c>
      <c r="D172" s="354">
        <v>30</v>
      </c>
      <c r="E172" s="354">
        <v>8.4033613445378208</v>
      </c>
      <c r="F172" s="354">
        <v>3.6676530157632299</v>
      </c>
    </row>
    <row r="173" spans="1:6" x14ac:dyDescent="0.3">
      <c r="A173" s="355" t="s">
        <v>144</v>
      </c>
      <c r="B173" s="1795" t="s">
        <v>27</v>
      </c>
      <c r="C173" s="356">
        <v>172</v>
      </c>
      <c r="D173" s="356">
        <v>35</v>
      </c>
      <c r="E173" s="356">
        <v>25.5474452554745</v>
      </c>
      <c r="F173" s="356">
        <v>1.6300680070058799</v>
      </c>
    </row>
    <row r="174" spans="1:6" x14ac:dyDescent="0.3">
      <c r="A174" s="357" t="s">
        <v>144</v>
      </c>
      <c r="B174" s="1795" t="s">
        <v>28</v>
      </c>
      <c r="C174" s="358">
        <v>17</v>
      </c>
      <c r="D174" s="358">
        <v>-3</v>
      </c>
      <c r="E174" s="358">
        <v>-15</v>
      </c>
      <c r="F174" s="358">
        <v>0.161111372785465</v>
      </c>
    </row>
    <row r="175" spans="1:6" x14ac:dyDescent="0.3">
      <c r="A175" s="359" t="s">
        <v>144</v>
      </c>
      <c r="B175" s="1795" t="s">
        <v>29</v>
      </c>
      <c r="C175" s="360">
        <v>118</v>
      </c>
      <c r="D175" s="360">
        <v>19</v>
      </c>
      <c r="E175" s="360">
        <v>19.191919191919201</v>
      </c>
      <c r="F175" s="360">
        <v>1.11830246992264</v>
      </c>
    </row>
    <row r="176" spans="1:6" x14ac:dyDescent="0.3">
      <c r="A176" s="361" t="s">
        <v>144</v>
      </c>
      <c r="B176" s="1795" t="s">
        <v>30</v>
      </c>
      <c r="C176" s="362">
        <v>80</v>
      </c>
      <c r="D176" s="362">
        <v>-21</v>
      </c>
      <c r="E176" s="362">
        <v>-20.7920792079208</v>
      </c>
      <c r="F176" s="362">
        <v>0.75817116604924695</v>
      </c>
    </row>
    <row r="177" spans="1:6" x14ac:dyDescent="0.3">
      <c r="A177" s="363" t="s">
        <v>144</v>
      </c>
      <c r="B177" s="1795" t="s">
        <v>31</v>
      </c>
      <c r="C177" s="364">
        <v>147</v>
      </c>
      <c r="D177" s="364">
        <v>10</v>
      </c>
      <c r="E177" s="364">
        <v>7.2992700729926998</v>
      </c>
      <c r="F177" s="364">
        <v>1.3931395176154899</v>
      </c>
    </row>
    <row r="178" spans="1:6" x14ac:dyDescent="0.3">
      <c r="A178" s="365" t="s">
        <v>144</v>
      </c>
      <c r="B178" s="1795" t="s">
        <v>32</v>
      </c>
      <c r="C178" s="366">
        <v>28</v>
      </c>
      <c r="D178" s="366">
        <v>2</v>
      </c>
      <c r="E178" s="366">
        <v>7.6923076923076898</v>
      </c>
      <c r="F178" s="366">
        <v>0.26535990811723598</v>
      </c>
    </row>
    <row r="179" spans="1:6" x14ac:dyDescent="0.3">
      <c r="A179" s="367" t="s">
        <v>144</v>
      </c>
      <c r="B179" s="1795" t="s">
        <v>33</v>
      </c>
      <c r="C179" s="368">
        <v>13</v>
      </c>
      <c r="D179" s="368">
        <v>7</v>
      </c>
      <c r="E179" s="368">
        <v>116.666666666667</v>
      </c>
      <c r="F179" s="368">
        <v>0.12320281448300301</v>
      </c>
    </row>
    <row r="180" spans="1:6" x14ac:dyDescent="0.3">
      <c r="A180" s="369" t="s">
        <v>144</v>
      </c>
      <c r="B180" s="1795" t="s">
        <v>34</v>
      </c>
      <c r="C180" s="370">
        <v>59</v>
      </c>
      <c r="D180" s="370">
        <v>6</v>
      </c>
      <c r="E180" s="370">
        <v>11.320754716981099</v>
      </c>
      <c r="F180" s="370">
        <v>0.55915123496132002</v>
      </c>
    </row>
    <row r="181" spans="1:6" x14ac:dyDescent="0.3">
      <c r="A181" s="371" t="s">
        <v>144</v>
      </c>
      <c r="B181" s="1795" t="s">
        <v>35</v>
      </c>
      <c r="C181" s="372">
        <v>47</v>
      </c>
      <c r="D181" s="372">
        <v>-5</v>
      </c>
      <c r="E181" s="372">
        <v>-9.6153846153846203</v>
      </c>
      <c r="F181" s="372">
        <v>0.44542556005393302</v>
      </c>
    </row>
    <row r="182" spans="1:6" x14ac:dyDescent="0.3">
      <c r="A182" s="373" t="s">
        <v>146</v>
      </c>
      <c r="B182" s="1795" t="s">
        <v>147</v>
      </c>
      <c r="C182" s="374">
        <v>33</v>
      </c>
      <c r="D182" s="374">
        <v>5</v>
      </c>
      <c r="E182" s="374">
        <v>17.8571428571429</v>
      </c>
      <c r="F182" s="374">
        <v>0.31274560599531398</v>
      </c>
    </row>
    <row r="183" spans="1:6" x14ac:dyDescent="0.3">
      <c r="A183" s="375" t="s">
        <v>148</v>
      </c>
      <c r="B183" s="1795" t="s">
        <v>149</v>
      </c>
      <c r="C183" s="376">
        <v>46</v>
      </c>
      <c r="D183" s="376">
        <v>-9</v>
      </c>
      <c r="E183" s="376">
        <v>-16.363636363636399</v>
      </c>
      <c r="F183" s="376">
        <v>0.435948420478317</v>
      </c>
    </row>
    <row r="184" spans="1:6" x14ac:dyDescent="0.3">
      <c r="A184" s="377" t="s">
        <v>150</v>
      </c>
      <c r="B184" s="1795" t="s">
        <v>151</v>
      </c>
      <c r="C184" s="378">
        <v>9</v>
      </c>
      <c r="D184" s="378">
        <v>-4</v>
      </c>
      <c r="E184" s="378">
        <v>-30.769230769230798</v>
      </c>
      <c r="F184" s="378">
        <v>8.5294256180540304E-2</v>
      </c>
    </row>
    <row r="185" spans="1:6" x14ac:dyDescent="0.3">
      <c r="A185" s="379" t="s">
        <v>152</v>
      </c>
      <c r="B185" s="1795" t="s">
        <v>153</v>
      </c>
      <c r="C185" s="380">
        <v>54</v>
      </c>
      <c r="D185" s="380">
        <v>-20</v>
      </c>
      <c r="E185" s="380">
        <v>-27.027027027027</v>
      </c>
      <c r="F185" s="380">
        <v>0.51176553708324202</v>
      </c>
    </row>
    <row r="186" spans="1:6" x14ac:dyDescent="0.3">
      <c r="A186" s="381" t="s">
        <v>152</v>
      </c>
      <c r="B186" s="1797" t="s">
        <v>800</v>
      </c>
      <c r="C186" s="382">
        <v>31</v>
      </c>
      <c r="D186" s="382">
        <v>-5</v>
      </c>
      <c r="E186" s="382">
        <v>-13.8888888888889</v>
      </c>
      <c r="F186" s="382">
        <v>0.29379132684408299</v>
      </c>
    </row>
    <row r="187" spans="1:6" x14ac:dyDescent="0.3">
      <c r="A187" s="383" t="s">
        <v>152</v>
      </c>
      <c r="B187" s="1795" t="s">
        <v>24</v>
      </c>
      <c r="C187" s="384">
        <v>27</v>
      </c>
      <c r="D187" s="384">
        <v>-7</v>
      </c>
      <c r="E187" s="384">
        <v>-20.588235294117599</v>
      </c>
      <c r="F187" s="384">
        <v>0.25588276854162101</v>
      </c>
    </row>
    <row r="188" spans="1:6" x14ac:dyDescent="0.3">
      <c r="A188" s="385" t="s">
        <v>152</v>
      </c>
      <c r="B188" s="1795" t="s">
        <v>25</v>
      </c>
      <c r="C188" s="386">
        <v>4</v>
      </c>
      <c r="D188" s="386">
        <v>2</v>
      </c>
      <c r="E188" s="386">
        <v>100</v>
      </c>
      <c r="F188" s="386">
        <v>3.79085583024623E-2</v>
      </c>
    </row>
    <row r="189" spans="1:6" x14ac:dyDescent="0.3">
      <c r="A189" s="387" t="s">
        <v>152</v>
      </c>
      <c r="B189" s="1795" t="s">
        <v>26</v>
      </c>
      <c r="C189" s="388">
        <v>22</v>
      </c>
      <c r="D189" s="388">
        <v>-11</v>
      </c>
      <c r="E189" s="388">
        <v>-33.3333333333333</v>
      </c>
      <c r="F189" s="388">
        <v>0.208497070663543</v>
      </c>
    </row>
    <row r="190" spans="1:6" x14ac:dyDescent="0.3">
      <c r="A190" s="389" t="s">
        <v>152</v>
      </c>
      <c r="B190" s="1795" t="s">
        <v>31</v>
      </c>
      <c r="C190" s="390">
        <v>1</v>
      </c>
      <c r="D190" s="390">
        <v>-4</v>
      </c>
      <c r="E190" s="390">
        <v>-80</v>
      </c>
      <c r="F190" s="390">
        <v>9.4771395756155907E-3</v>
      </c>
    </row>
    <row r="191" spans="1:6" x14ac:dyDescent="0.3">
      <c r="A191" s="391" t="s">
        <v>154</v>
      </c>
      <c r="B191" s="1795" t="s">
        <v>155</v>
      </c>
      <c r="C191" s="392">
        <v>50438</v>
      </c>
      <c r="D191" s="392">
        <v>247</v>
      </c>
      <c r="E191" s="392">
        <v>0.49212010121336502</v>
      </c>
      <c r="F191" s="392">
        <v>478.00796591489899</v>
      </c>
    </row>
    <row r="192" spans="1:6" x14ac:dyDescent="0.3">
      <c r="A192" s="393" t="s">
        <v>154</v>
      </c>
      <c r="B192" s="1795" t="s">
        <v>23</v>
      </c>
      <c r="C192" s="394">
        <v>8241</v>
      </c>
      <c r="D192" s="394">
        <v>285</v>
      </c>
      <c r="E192" s="394">
        <v>3.58220211161388</v>
      </c>
      <c r="F192" s="394">
        <v>78.101107242647998</v>
      </c>
    </row>
    <row r="193" spans="1:6" x14ac:dyDescent="0.3">
      <c r="A193" s="395" t="s">
        <v>154</v>
      </c>
      <c r="B193" s="1795" t="s">
        <v>24</v>
      </c>
      <c r="C193" s="396">
        <v>3567</v>
      </c>
      <c r="D193" s="396">
        <v>221</v>
      </c>
      <c r="E193" s="396">
        <v>6.6049013747758503</v>
      </c>
      <c r="F193" s="396">
        <v>33.804956866220799</v>
      </c>
    </row>
    <row r="194" spans="1:6" x14ac:dyDescent="0.3">
      <c r="A194" s="397" t="s">
        <v>154</v>
      </c>
      <c r="B194" s="1795" t="s">
        <v>156</v>
      </c>
      <c r="C194" s="398">
        <v>1094</v>
      </c>
      <c r="D194" s="398">
        <v>167</v>
      </c>
      <c r="E194" s="398">
        <v>18.0151024811219</v>
      </c>
      <c r="F194" s="398">
        <v>10.367990695723501</v>
      </c>
    </row>
    <row r="195" spans="1:6" x14ac:dyDescent="0.3">
      <c r="A195" s="399" t="s">
        <v>154</v>
      </c>
      <c r="B195" s="1795" t="s">
        <v>157</v>
      </c>
      <c r="C195" s="400">
        <v>2473</v>
      </c>
      <c r="D195" s="400">
        <v>54</v>
      </c>
      <c r="E195" s="400">
        <v>2.2323274080198399</v>
      </c>
      <c r="F195" s="400">
        <v>23.4369661704973</v>
      </c>
    </row>
    <row r="196" spans="1:6" x14ac:dyDescent="0.3">
      <c r="A196" s="401" t="s">
        <v>154</v>
      </c>
      <c r="B196" s="1795" t="s">
        <v>25</v>
      </c>
      <c r="C196" s="402">
        <v>4674</v>
      </c>
      <c r="D196" s="402">
        <v>64</v>
      </c>
      <c r="E196" s="402">
        <v>1.3882863340564</v>
      </c>
      <c r="F196" s="402">
        <v>44.2961503764272</v>
      </c>
    </row>
    <row r="197" spans="1:6" x14ac:dyDescent="0.3">
      <c r="A197" s="403" t="s">
        <v>154</v>
      </c>
      <c r="B197" s="1795" t="s">
        <v>158</v>
      </c>
      <c r="C197" s="404">
        <v>934</v>
      </c>
      <c r="D197" s="404">
        <v>123</v>
      </c>
      <c r="E197" s="404">
        <v>15.1664611590629</v>
      </c>
      <c r="F197" s="404">
        <v>8.8516483636249603</v>
      </c>
    </row>
    <row r="198" spans="1:6" x14ac:dyDescent="0.3">
      <c r="A198" s="405" t="s">
        <v>154</v>
      </c>
      <c r="B198" s="1795" t="s">
        <v>159</v>
      </c>
      <c r="C198" s="406">
        <v>3740</v>
      </c>
      <c r="D198" s="406">
        <v>-59</v>
      </c>
      <c r="E198" s="406">
        <v>-1.5530402737562501</v>
      </c>
      <c r="F198" s="406">
        <v>35.444502012802303</v>
      </c>
    </row>
    <row r="199" spans="1:6" x14ac:dyDescent="0.3">
      <c r="A199" s="407" t="s">
        <v>154</v>
      </c>
      <c r="B199" s="1795" t="s">
        <v>26</v>
      </c>
      <c r="C199" s="408">
        <v>20051</v>
      </c>
      <c r="D199" s="408">
        <v>538</v>
      </c>
      <c r="E199" s="408">
        <v>2.75713626812894</v>
      </c>
      <c r="F199" s="408">
        <v>190.02612563066799</v>
      </c>
    </row>
    <row r="200" spans="1:6" x14ac:dyDescent="0.3">
      <c r="A200" s="409" t="s">
        <v>154</v>
      </c>
      <c r="B200" s="1795" t="s">
        <v>160</v>
      </c>
      <c r="C200" s="410">
        <v>7547</v>
      </c>
      <c r="D200" s="410">
        <v>277</v>
      </c>
      <c r="E200" s="410">
        <v>3.8101788170563999</v>
      </c>
      <c r="F200" s="410">
        <v>71.523972377170793</v>
      </c>
    </row>
    <row r="201" spans="1:6" x14ac:dyDescent="0.3">
      <c r="A201" s="411" t="s">
        <v>154</v>
      </c>
      <c r="B201" s="1795" t="s">
        <v>161</v>
      </c>
      <c r="C201" s="412">
        <v>972</v>
      </c>
      <c r="D201" s="412">
        <v>169</v>
      </c>
      <c r="E201" s="412">
        <v>21.046077210460801</v>
      </c>
      <c r="F201" s="412">
        <v>9.2117796674983499</v>
      </c>
    </row>
    <row r="202" spans="1:6" x14ac:dyDescent="0.3">
      <c r="A202" s="413" t="s">
        <v>154</v>
      </c>
      <c r="B202" s="1795" t="s">
        <v>162</v>
      </c>
      <c r="C202" s="414">
        <v>6575</v>
      </c>
      <c r="D202" s="414">
        <v>108</v>
      </c>
      <c r="E202" s="414">
        <v>1.6700170094325</v>
      </c>
      <c r="F202" s="414">
        <v>62.312192709672502</v>
      </c>
    </row>
    <row r="203" spans="1:6" x14ac:dyDescent="0.3">
      <c r="A203" s="415" t="s">
        <v>154</v>
      </c>
      <c r="B203" s="1795" t="s">
        <v>163</v>
      </c>
      <c r="C203" s="416">
        <v>2112</v>
      </c>
      <c r="D203" s="416">
        <v>26</v>
      </c>
      <c r="E203" s="416">
        <v>1.2464046021093</v>
      </c>
      <c r="F203" s="416">
        <v>20.015718783700098</v>
      </c>
    </row>
    <row r="204" spans="1:6" x14ac:dyDescent="0.3">
      <c r="A204" s="417" t="s">
        <v>154</v>
      </c>
      <c r="B204" s="1795" t="s">
        <v>903</v>
      </c>
      <c r="C204" s="418">
        <v>294</v>
      </c>
      <c r="D204" s="418">
        <v>55</v>
      </c>
      <c r="E204" s="418">
        <v>23.012552301255202</v>
      </c>
      <c r="F204" s="418">
        <v>2.7862790352309799</v>
      </c>
    </row>
    <row r="205" spans="1:6" x14ac:dyDescent="0.3">
      <c r="A205" s="419" t="s">
        <v>154</v>
      </c>
      <c r="B205" s="1795" t="s">
        <v>904</v>
      </c>
      <c r="C205" s="420">
        <v>1818</v>
      </c>
      <c r="D205" s="420">
        <v>-29</v>
      </c>
      <c r="E205" s="420">
        <v>-1.57011369788847</v>
      </c>
      <c r="F205" s="420">
        <v>17.229439748469101</v>
      </c>
    </row>
    <row r="206" spans="1:6" x14ac:dyDescent="0.3">
      <c r="A206" s="421" t="s">
        <v>154</v>
      </c>
      <c r="B206" s="1795" t="s">
        <v>29</v>
      </c>
      <c r="C206" s="422">
        <v>5153</v>
      </c>
      <c r="D206" s="422">
        <v>99</v>
      </c>
      <c r="E206" s="422">
        <v>1.9588444796201001</v>
      </c>
      <c r="F206" s="422">
        <v>48.835700233147101</v>
      </c>
    </row>
    <row r="207" spans="1:6" x14ac:dyDescent="0.3">
      <c r="A207" s="423" t="s">
        <v>154</v>
      </c>
      <c r="B207" s="1795" t="s">
        <v>905</v>
      </c>
      <c r="C207" s="424">
        <v>1124</v>
      </c>
      <c r="D207" s="424">
        <v>111</v>
      </c>
      <c r="E207" s="424">
        <v>10.9575518262586</v>
      </c>
      <c r="F207" s="424">
        <v>10.652304882991899</v>
      </c>
    </row>
    <row r="208" spans="1:6" x14ac:dyDescent="0.3">
      <c r="A208" s="425" t="s">
        <v>154</v>
      </c>
      <c r="B208" s="1795" t="s">
        <v>906</v>
      </c>
      <c r="C208" s="426">
        <v>4029</v>
      </c>
      <c r="D208" s="426">
        <v>-12</v>
      </c>
      <c r="E208" s="426">
        <v>-0.29695619896065301</v>
      </c>
      <c r="F208" s="426">
        <v>38.183395350155202</v>
      </c>
    </row>
    <row r="209" spans="1:6" x14ac:dyDescent="0.3">
      <c r="A209" s="427" t="s">
        <v>154</v>
      </c>
      <c r="B209" s="1795" t="s">
        <v>30</v>
      </c>
      <c r="C209" s="428">
        <v>5239</v>
      </c>
      <c r="D209" s="428">
        <v>136</v>
      </c>
      <c r="E209" s="428">
        <v>2.6650989613952598</v>
      </c>
      <c r="F209" s="428">
        <v>49.650734236650102</v>
      </c>
    </row>
    <row r="210" spans="1:6" x14ac:dyDescent="0.3">
      <c r="A210" s="429" t="s">
        <v>154</v>
      </c>
      <c r="B210" s="1795" t="s">
        <v>164</v>
      </c>
      <c r="C210" s="430">
        <v>1252</v>
      </c>
      <c r="D210" s="430">
        <v>182</v>
      </c>
      <c r="E210" s="430">
        <v>17.009345794392502</v>
      </c>
      <c r="F210" s="430">
        <v>11.8653787486707</v>
      </c>
    </row>
    <row r="211" spans="1:6" x14ac:dyDescent="0.3">
      <c r="A211" s="431" t="s">
        <v>154</v>
      </c>
      <c r="B211" s="1795" t="s">
        <v>165</v>
      </c>
      <c r="C211" s="432">
        <v>3987</v>
      </c>
      <c r="D211" s="432">
        <v>-46</v>
      </c>
      <c r="E211" s="432">
        <v>-1.14059013141582</v>
      </c>
      <c r="F211" s="432">
        <v>37.785355487979302</v>
      </c>
    </row>
    <row r="212" spans="1:6" x14ac:dyDescent="0.3">
      <c r="A212" s="433" t="s">
        <v>154</v>
      </c>
      <c r="B212" s="1795" t="s">
        <v>31</v>
      </c>
      <c r="C212" s="434">
        <v>19389</v>
      </c>
      <c r="D212" s="434">
        <v>-342</v>
      </c>
      <c r="E212" s="434">
        <v>-1.7333130606659599</v>
      </c>
      <c r="F212" s="434">
        <v>183.75225923161099</v>
      </c>
    </row>
    <row r="213" spans="1:6" x14ac:dyDescent="0.3">
      <c r="A213" s="435" t="s">
        <v>154</v>
      </c>
      <c r="B213" s="1795" t="s">
        <v>32</v>
      </c>
      <c r="C213" s="436">
        <v>1180</v>
      </c>
      <c r="D213" s="436">
        <v>106</v>
      </c>
      <c r="E213" s="436">
        <v>9.8696461824953392</v>
      </c>
      <c r="F213" s="436">
        <v>11.183024699226401</v>
      </c>
    </row>
    <row r="214" spans="1:6" x14ac:dyDescent="0.3">
      <c r="A214" s="437" t="s">
        <v>154</v>
      </c>
      <c r="B214" s="1795" t="s">
        <v>166</v>
      </c>
      <c r="C214" s="438">
        <v>182</v>
      </c>
      <c r="D214" s="438">
        <v>20</v>
      </c>
      <c r="E214" s="438">
        <v>12.3456790123457</v>
      </c>
      <c r="F214" s="438">
        <v>1.72483940276204</v>
      </c>
    </row>
    <row r="215" spans="1:6" x14ac:dyDescent="0.3">
      <c r="A215" s="439" t="s">
        <v>154</v>
      </c>
      <c r="B215" s="1795" t="s">
        <v>167</v>
      </c>
      <c r="C215" s="440">
        <v>998</v>
      </c>
      <c r="D215" s="440">
        <v>86</v>
      </c>
      <c r="E215" s="440">
        <v>9.4298245614035103</v>
      </c>
      <c r="F215" s="440">
        <v>9.4581852964643502</v>
      </c>
    </row>
    <row r="216" spans="1:6" x14ac:dyDescent="0.3">
      <c r="A216" s="441" t="s">
        <v>154</v>
      </c>
      <c r="B216" s="1795" t="s">
        <v>33</v>
      </c>
      <c r="C216" s="442">
        <v>1580</v>
      </c>
      <c r="D216" s="442">
        <v>56</v>
      </c>
      <c r="E216" s="442">
        <v>3.6745406824147002</v>
      </c>
      <c r="F216" s="442">
        <v>14.9738805294726</v>
      </c>
    </row>
    <row r="217" spans="1:6" x14ac:dyDescent="0.3">
      <c r="A217" s="443" t="s">
        <v>154</v>
      </c>
      <c r="B217" s="1795" t="s">
        <v>168</v>
      </c>
      <c r="C217" s="444">
        <v>217</v>
      </c>
      <c r="D217" s="444">
        <v>7</v>
      </c>
      <c r="E217" s="444">
        <v>3.3333333333333299</v>
      </c>
      <c r="F217" s="444">
        <v>2.05653928790858</v>
      </c>
    </row>
    <row r="218" spans="1:6" x14ac:dyDescent="0.3">
      <c r="A218" s="445" t="s">
        <v>154</v>
      </c>
      <c r="B218" s="1795" t="s">
        <v>907</v>
      </c>
      <c r="C218" s="446">
        <v>1363</v>
      </c>
      <c r="D218" s="446">
        <v>49</v>
      </c>
      <c r="E218" s="446">
        <v>3.7290715372907202</v>
      </c>
      <c r="F218" s="446">
        <v>12.917341241563999</v>
      </c>
    </row>
    <row r="219" spans="1:6" x14ac:dyDescent="0.3">
      <c r="A219" s="447" t="s">
        <v>154</v>
      </c>
      <c r="B219" s="1795" t="s">
        <v>34</v>
      </c>
      <c r="C219" s="448">
        <v>6841</v>
      </c>
      <c r="D219" s="448">
        <v>-105</v>
      </c>
      <c r="E219" s="448">
        <v>-1.5116613878491201</v>
      </c>
      <c r="F219" s="448">
        <v>64.833111836786202</v>
      </c>
    </row>
    <row r="220" spans="1:6" x14ac:dyDescent="0.3">
      <c r="A220" s="449" t="s">
        <v>154</v>
      </c>
      <c r="B220" s="1795" t="s">
        <v>908</v>
      </c>
      <c r="C220" s="450">
        <v>1045</v>
      </c>
      <c r="D220" s="450">
        <v>134</v>
      </c>
      <c r="E220" s="450">
        <v>14.7091108671789</v>
      </c>
      <c r="F220" s="450">
        <v>9.9036108565182897</v>
      </c>
    </row>
    <row r="221" spans="1:6" x14ac:dyDescent="0.3">
      <c r="A221" s="451" t="s">
        <v>154</v>
      </c>
      <c r="B221" s="1795" t="s">
        <v>909</v>
      </c>
      <c r="C221" s="452">
        <v>5796</v>
      </c>
      <c r="D221" s="452">
        <v>-239</v>
      </c>
      <c r="E221" s="452">
        <v>-3.96023198011599</v>
      </c>
      <c r="F221" s="452">
        <v>54.929500980267903</v>
      </c>
    </row>
    <row r="222" spans="1:6" x14ac:dyDescent="0.3">
      <c r="A222" s="453" t="s">
        <v>154</v>
      </c>
      <c r="B222" s="1795" t="s">
        <v>35</v>
      </c>
      <c r="C222" s="454">
        <v>9788</v>
      </c>
      <c r="D222" s="454">
        <v>-399</v>
      </c>
      <c r="E222" s="454">
        <v>-3.9167566506331601</v>
      </c>
      <c r="F222" s="454">
        <v>92.762242166125304</v>
      </c>
    </row>
    <row r="223" spans="1:6" x14ac:dyDescent="0.3">
      <c r="A223" s="455" t="s">
        <v>154</v>
      </c>
      <c r="B223" s="1795" t="s">
        <v>169</v>
      </c>
      <c r="C223" s="456">
        <v>1466</v>
      </c>
      <c r="D223" s="456">
        <v>-35</v>
      </c>
      <c r="E223" s="456">
        <v>-2.3317788141239202</v>
      </c>
      <c r="F223" s="456">
        <v>13.8934866178524</v>
      </c>
    </row>
    <row r="224" spans="1:6" x14ac:dyDescent="0.3">
      <c r="A224" s="457" t="s">
        <v>154</v>
      </c>
      <c r="B224" s="1795" t="s">
        <v>170</v>
      </c>
      <c r="C224" s="458">
        <v>8322</v>
      </c>
      <c r="D224" s="458">
        <v>-364</v>
      </c>
      <c r="E224" s="458">
        <v>-4.1906516233018696</v>
      </c>
      <c r="F224" s="458">
        <v>78.868755548272901</v>
      </c>
    </row>
    <row r="225" spans="1:6" x14ac:dyDescent="0.3">
      <c r="A225" s="459" t="s">
        <v>154</v>
      </c>
      <c r="B225" s="1795" t="s">
        <v>171</v>
      </c>
      <c r="C225" s="460">
        <v>2757</v>
      </c>
      <c r="D225" s="460">
        <v>-234</v>
      </c>
      <c r="E225" s="460">
        <v>-7.8234704112336999</v>
      </c>
      <c r="F225" s="460">
        <v>26.128473809972199</v>
      </c>
    </row>
    <row r="226" spans="1:6" x14ac:dyDescent="0.3">
      <c r="A226" s="461" t="s">
        <v>154</v>
      </c>
      <c r="B226" s="1795" t="s">
        <v>172</v>
      </c>
      <c r="C226" s="462">
        <v>721</v>
      </c>
      <c r="D226" s="462">
        <v>114</v>
      </c>
      <c r="E226" s="462">
        <v>18.780889621087301</v>
      </c>
      <c r="F226" s="462">
        <v>6.83301763401884</v>
      </c>
    </row>
    <row r="227" spans="1:6" x14ac:dyDescent="0.3">
      <c r="A227" s="463" t="s">
        <v>154</v>
      </c>
      <c r="B227" s="1795" t="s">
        <v>173</v>
      </c>
      <c r="C227" s="464">
        <v>2036</v>
      </c>
      <c r="D227" s="464">
        <v>-348</v>
      </c>
      <c r="E227" s="464">
        <v>-14.597315436241599</v>
      </c>
      <c r="F227" s="464">
        <v>19.295456175953301</v>
      </c>
    </row>
    <row r="228" spans="1:6" x14ac:dyDescent="0.3">
      <c r="A228" s="465" t="s">
        <v>174</v>
      </c>
      <c r="B228" s="1795" t="s">
        <v>175</v>
      </c>
      <c r="C228" s="466">
        <v>11711</v>
      </c>
      <c r="D228" s="466">
        <v>755</v>
      </c>
      <c r="E228" s="466">
        <v>6.8912011683095997</v>
      </c>
      <c r="F228" s="466">
        <v>110.986781570034</v>
      </c>
    </row>
    <row r="229" spans="1:6" x14ac:dyDescent="0.3">
      <c r="A229" s="467" t="s">
        <v>176</v>
      </c>
      <c r="B229" s="1795" t="s">
        <v>177</v>
      </c>
      <c r="C229" s="468">
        <v>1339</v>
      </c>
      <c r="D229" s="468">
        <v>280</v>
      </c>
      <c r="E229" s="468">
        <v>26.440037771482501</v>
      </c>
      <c r="F229" s="468">
        <v>12.689889891749299</v>
      </c>
    </row>
    <row r="230" spans="1:6" x14ac:dyDescent="0.3">
      <c r="A230" s="469" t="s">
        <v>178</v>
      </c>
      <c r="B230" s="1795" t="s">
        <v>179</v>
      </c>
      <c r="C230" s="470">
        <v>17729</v>
      </c>
      <c r="D230" s="470">
        <v>911</v>
      </c>
      <c r="E230" s="470">
        <v>5.4168153169223396</v>
      </c>
      <c r="F230" s="470">
        <v>168.020207536089</v>
      </c>
    </row>
    <row r="231" spans="1:6" x14ac:dyDescent="0.3">
      <c r="A231" s="471" t="s">
        <v>178</v>
      </c>
      <c r="B231" s="1795" t="s">
        <v>23</v>
      </c>
      <c r="C231" s="472">
        <v>403</v>
      </c>
      <c r="D231" s="472">
        <v>33</v>
      </c>
      <c r="E231" s="472">
        <v>8.9189189189189193</v>
      </c>
      <c r="F231" s="472">
        <v>3.81928724897308</v>
      </c>
    </row>
    <row r="232" spans="1:6" x14ac:dyDescent="0.3">
      <c r="A232" s="473" t="s">
        <v>178</v>
      </c>
      <c r="B232" s="1795" t="s">
        <v>24</v>
      </c>
      <c r="C232" s="474">
        <v>248</v>
      </c>
      <c r="D232" s="474">
        <v>23</v>
      </c>
      <c r="E232" s="474">
        <v>10.2222222222222</v>
      </c>
      <c r="F232" s="474">
        <v>2.3503306147526701</v>
      </c>
    </row>
    <row r="233" spans="1:6" x14ac:dyDescent="0.3">
      <c r="A233" s="475" t="s">
        <v>178</v>
      </c>
      <c r="B233" s="1795" t="s">
        <v>25</v>
      </c>
      <c r="C233" s="476">
        <v>155</v>
      </c>
      <c r="D233" s="476">
        <v>10</v>
      </c>
      <c r="E233" s="476">
        <v>6.8965517241379297</v>
      </c>
      <c r="F233" s="476">
        <v>1.4689566342204201</v>
      </c>
    </row>
    <row r="234" spans="1:6" x14ac:dyDescent="0.3">
      <c r="A234" s="477" t="s">
        <v>178</v>
      </c>
      <c r="B234" s="1795" t="s">
        <v>26</v>
      </c>
      <c r="C234" s="478">
        <v>7879</v>
      </c>
      <c r="D234" s="478">
        <v>242</v>
      </c>
      <c r="E234" s="478">
        <v>3.1687835537514699</v>
      </c>
      <c r="F234" s="478">
        <v>74.670382716275199</v>
      </c>
    </row>
    <row r="235" spans="1:6" x14ac:dyDescent="0.3">
      <c r="A235" s="479" t="s">
        <v>178</v>
      </c>
      <c r="B235" s="1795" t="s">
        <v>31</v>
      </c>
      <c r="C235" s="480">
        <v>9447</v>
      </c>
      <c r="D235" s="480">
        <v>636</v>
      </c>
      <c r="E235" s="480">
        <v>7.2182499148791299</v>
      </c>
      <c r="F235" s="480">
        <v>89.530537570840394</v>
      </c>
    </row>
    <row r="236" spans="1:6" x14ac:dyDescent="0.3">
      <c r="A236" s="481" t="s">
        <v>180</v>
      </c>
      <c r="B236" s="1795" t="s">
        <v>181</v>
      </c>
      <c r="C236" s="482">
        <v>2424</v>
      </c>
      <c r="D236" s="482">
        <v>291</v>
      </c>
      <c r="E236" s="482">
        <v>13.6427566807314</v>
      </c>
      <c r="F236" s="482">
        <v>22.972586331292199</v>
      </c>
    </row>
    <row r="237" spans="1:6" x14ac:dyDescent="0.3">
      <c r="A237" s="483" t="s">
        <v>180</v>
      </c>
      <c r="B237" s="1795" t="s">
        <v>23</v>
      </c>
      <c r="C237" s="484">
        <v>1198</v>
      </c>
      <c r="D237" s="484">
        <v>186</v>
      </c>
      <c r="E237" s="484">
        <v>18.3794466403162</v>
      </c>
      <c r="F237" s="484">
        <v>11.353613211587501</v>
      </c>
    </row>
    <row r="238" spans="1:6" x14ac:dyDescent="0.3">
      <c r="A238" s="485" t="s">
        <v>180</v>
      </c>
      <c r="B238" s="1795" t="s">
        <v>24</v>
      </c>
      <c r="C238" s="486">
        <v>795</v>
      </c>
      <c r="D238" s="486">
        <v>134</v>
      </c>
      <c r="E238" s="486">
        <v>20.272314674735298</v>
      </c>
      <c r="F238" s="486">
        <v>7.5343259626143899</v>
      </c>
    </row>
    <row r="239" spans="1:6" x14ac:dyDescent="0.3">
      <c r="A239" s="487" t="s">
        <v>180</v>
      </c>
      <c r="B239" s="1795" t="s">
        <v>25</v>
      </c>
      <c r="C239" s="488">
        <v>403</v>
      </c>
      <c r="D239" s="488">
        <v>52</v>
      </c>
      <c r="E239" s="488">
        <v>14.814814814814801</v>
      </c>
      <c r="F239" s="488">
        <v>3.81928724897308</v>
      </c>
    </row>
    <row r="240" spans="1:6" x14ac:dyDescent="0.3">
      <c r="A240" s="489" t="s">
        <v>180</v>
      </c>
      <c r="B240" s="1795" t="s">
        <v>26</v>
      </c>
      <c r="C240" s="490">
        <v>777</v>
      </c>
      <c r="D240" s="490">
        <v>101</v>
      </c>
      <c r="E240" s="490">
        <v>14.9408284023669</v>
      </c>
      <c r="F240" s="490">
        <v>7.3637374502533097</v>
      </c>
    </row>
    <row r="241" spans="1:6" x14ac:dyDescent="0.3">
      <c r="A241" s="491" t="s">
        <v>180</v>
      </c>
      <c r="B241" s="1795" t="s">
        <v>27</v>
      </c>
      <c r="C241" s="492">
        <v>313</v>
      </c>
      <c r="D241" s="492">
        <v>53</v>
      </c>
      <c r="E241" s="492">
        <v>20.384615384615401</v>
      </c>
      <c r="F241" s="492">
        <v>2.96634468716768</v>
      </c>
    </row>
    <row r="242" spans="1:6" x14ac:dyDescent="0.3">
      <c r="A242" s="493" t="s">
        <v>180</v>
      </c>
      <c r="B242" s="1795" t="s">
        <v>28</v>
      </c>
      <c r="C242" s="494">
        <v>19</v>
      </c>
      <c r="D242" s="494">
        <v>1</v>
      </c>
      <c r="E242" s="494">
        <v>5.5555555555555598</v>
      </c>
      <c r="F242" s="494">
        <v>0.18006565193669599</v>
      </c>
    </row>
    <row r="243" spans="1:6" x14ac:dyDescent="0.3">
      <c r="A243" s="495" t="s">
        <v>180</v>
      </c>
      <c r="B243" s="1795" t="s">
        <v>29</v>
      </c>
      <c r="C243" s="496">
        <v>216</v>
      </c>
      <c r="D243" s="496">
        <v>18</v>
      </c>
      <c r="E243" s="496">
        <v>9.0909090909090899</v>
      </c>
      <c r="F243" s="496">
        <v>2.0470621483329698</v>
      </c>
    </row>
    <row r="244" spans="1:6" x14ac:dyDescent="0.3">
      <c r="A244" s="497" t="s">
        <v>180</v>
      </c>
      <c r="B244" s="1795" t="s">
        <v>30</v>
      </c>
      <c r="C244" s="498">
        <v>229</v>
      </c>
      <c r="D244" s="498">
        <v>29</v>
      </c>
      <c r="E244" s="498">
        <v>14.5</v>
      </c>
      <c r="F244" s="498">
        <v>2.17026496281597</v>
      </c>
    </row>
    <row r="245" spans="1:6" x14ac:dyDescent="0.3">
      <c r="A245" s="499" t="s">
        <v>180</v>
      </c>
      <c r="B245" s="1795" t="s">
        <v>31</v>
      </c>
      <c r="C245" s="500">
        <v>449</v>
      </c>
      <c r="D245" s="500">
        <v>4</v>
      </c>
      <c r="E245" s="500">
        <v>0.898876404494382</v>
      </c>
      <c r="F245" s="500">
        <v>4.2552356694514</v>
      </c>
    </row>
    <row r="246" spans="1:6" x14ac:dyDescent="0.3">
      <c r="A246" s="501" t="s">
        <v>180</v>
      </c>
      <c r="B246" s="1795" t="s">
        <v>32</v>
      </c>
      <c r="C246" s="502">
        <v>41</v>
      </c>
      <c r="D246" s="502">
        <v>6</v>
      </c>
      <c r="E246" s="502">
        <v>17.1428571428571</v>
      </c>
      <c r="F246" s="502">
        <v>0.388562722600239</v>
      </c>
    </row>
    <row r="247" spans="1:6" x14ac:dyDescent="0.3">
      <c r="A247" s="503" t="s">
        <v>180</v>
      </c>
      <c r="B247" s="1795" t="s">
        <v>33</v>
      </c>
      <c r="C247" s="504">
        <v>9</v>
      </c>
      <c r="D247" s="504">
        <v>4</v>
      </c>
      <c r="E247" s="504">
        <v>80</v>
      </c>
      <c r="F247" s="504">
        <v>8.5294256180540304E-2</v>
      </c>
    </row>
    <row r="248" spans="1:6" x14ac:dyDescent="0.3">
      <c r="A248" s="505" t="s">
        <v>180</v>
      </c>
      <c r="B248" s="1795" t="s">
        <v>34</v>
      </c>
      <c r="C248" s="506">
        <v>68</v>
      </c>
      <c r="D248" s="506">
        <v>11</v>
      </c>
      <c r="E248" s="506">
        <v>19.2982456140351</v>
      </c>
      <c r="F248" s="506">
        <v>0.64444549114186001</v>
      </c>
    </row>
    <row r="249" spans="1:6" x14ac:dyDescent="0.3">
      <c r="A249" s="507" t="s">
        <v>180</v>
      </c>
      <c r="B249" s="1795" t="s">
        <v>35</v>
      </c>
      <c r="C249" s="508">
        <v>331</v>
      </c>
      <c r="D249" s="508">
        <v>-17</v>
      </c>
      <c r="E249" s="508">
        <v>-4.8850574712643704</v>
      </c>
      <c r="F249" s="508">
        <v>3.1369331995287602</v>
      </c>
    </row>
    <row r="250" spans="1:6" x14ac:dyDescent="0.3">
      <c r="A250" s="509" t="s">
        <v>182</v>
      </c>
      <c r="B250" s="1795" t="s">
        <v>183</v>
      </c>
      <c r="C250" s="510">
        <v>62238</v>
      </c>
      <c r="D250" s="510">
        <v>7671</v>
      </c>
      <c r="E250" s="510">
        <v>14.057947110891201</v>
      </c>
      <c r="F250" s="510">
        <v>589.83821290716298</v>
      </c>
    </row>
    <row r="251" spans="1:6" x14ac:dyDescent="0.3">
      <c r="A251" s="511" t="s">
        <v>182</v>
      </c>
      <c r="B251" s="1797" t="s">
        <v>800</v>
      </c>
      <c r="C251" s="512">
        <v>6827</v>
      </c>
      <c r="D251" s="512">
        <v>641</v>
      </c>
      <c r="E251" s="512">
        <v>10.362107985774299</v>
      </c>
      <c r="F251" s="512">
        <v>64.700431882727599</v>
      </c>
    </row>
    <row r="252" spans="1:6" x14ac:dyDescent="0.3">
      <c r="A252" s="513" t="s">
        <v>182</v>
      </c>
      <c r="B252" s="1795" t="s">
        <v>24</v>
      </c>
      <c r="C252" s="514">
        <v>3766</v>
      </c>
      <c r="D252" s="514">
        <v>380</v>
      </c>
      <c r="E252" s="514">
        <v>11.222681630242199</v>
      </c>
      <c r="F252" s="514">
        <v>35.690907641768298</v>
      </c>
    </row>
    <row r="253" spans="1:6" x14ac:dyDescent="0.3">
      <c r="A253" s="515" t="s">
        <v>182</v>
      </c>
      <c r="B253" s="1795" t="s">
        <v>25</v>
      </c>
      <c r="C253" s="516">
        <v>3061</v>
      </c>
      <c r="D253" s="516">
        <v>261</v>
      </c>
      <c r="E253" s="516">
        <v>9.3214285714285694</v>
      </c>
      <c r="F253" s="516">
        <v>29.009524240959301</v>
      </c>
    </row>
    <row r="254" spans="1:6" x14ac:dyDescent="0.3">
      <c r="A254" s="517" t="s">
        <v>182</v>
      </c>
      <c r="B254" s="1797" t="s">
        <v>227</v>
      </c>
      <c r="C254" s="518">
        <v>33175</v>
      </c>
      <c r="D254" s="518">
        <v>4111</v>
      </c>
      <c r="E254" s="518">
        <v>14.144646297825499</v>
      </c>
      <c r="F254" s="518">
        <v>314.40410542104701</v>
      </c>
    </row>
    <row r="255" spans="1:6" x14ac:dyDescent="0.3">
      <c r="A255" s="519" t="s">
        <v>182</v>
      </c>
      <c r="B255" s="1795" t="s">
        <v>27</v>
      </c>
      <c r="C255" s="520">
        <v>7693</v>
      </c>
      <c r="D255" s="520">
        <v>1063</v>
      </c>
      <c r="E255" s="520">
        <v>16.0331825037707</v>
      </c>
      <c r="F255" s="520">
        <v>72.907634755210694</v>
      </c>
    </row>
    <row r="256" spans="1:6" x14ac:dyDescent="0.3">
      <c r="A256" s="521" t="s">
        <v>182</v>
      </c>
      <c r="B256" s="1795" t="s">
        <v>28</v>
      </c>
      <c r="C256" s="522">
        <v>1764</v>
      </c>
      <c r="D256" s="522">
        <v>188</v>
      </c>
      <c r="E256" s="522">
        <v>11.9289340101523</v>
      </c>
      <c r="F256" s="522">
        <v>16.717674211385901</v>
      </c>
    </row>
    <row r="257" spans="1:6" x14ac:dyDescent="0.3">
      <c r="A257" s="523" t="s">
        <v>182</v>
      </c>
      <c r="B257" s="1795" t="s">
        <v>29</v>
      </c>
      <c r="C257" s="524">
        <v>8520</v>
      </c>
      <c r="D257" s="524">
        <v>1061</v>
      </c>
      <c r="E257" s="524">
        <v>14.2244268668722</v>
      </c>
      <c r="F257" s="524">
        <v>80.745229184244806</v>
      </c>
    </row>
    <row r="258" spans="1:6" x14ac:dyDescent="0.3">
      <c r="A258" s="525" t="s">
        <v>182</v>
      </c>
      <c r="B258" s="1795" t="s">
        <v>30</v>
      </c>
      <c r="C258" s="526">
        <v>15198</v>
      </c>
      <c r="D258" s="526">
        <v>1799</v>
      </c>
      <c r="E258" s="526">
        <v>13.4263751026196</v>
      </c>
      <c r="F258" s="526">
        <v>144.03356727020599</v>
      </c>
    </row>
    <row r="259" spans="1:6" x14ac:dyDescent="0.3">
      <c r="A259" s="527" t="s">
        <v>182</v>
      </c>
      <c r="B259" s="1797" t="s">
        <v>235</v>
      </c>
      <c r="C259" s="528">
        <v>19478</v>
      </c>
      <c r="D259" s="528">
        <v>2832</v>
      </c>
      <c r="E259" s="528">
        <v>17.0130962393368</v>
      </c>
      <c r="F259" s="528">
        <v>184.59572465383999</v>
      </c>
    </row>
    <row r="260" spans="1:6" x14ac:dyDescent="0.3">
      <c r="A260" s="529" t="s">
        <v>182</v>
      </c>
      <c r="B260" s="1795" t="s">
        <v>32</v>
      </c>
      <c r="C260" s="530">
        <v>1655</v>
      </c>
      <c r="D260" s="530">
        <v>318</v>
      </c>
      <c r="E260" s="530">
        <v>23.784592370979802</v>
      </c>
      <c r="F260" s="530">
        <v>15.684665997643799</v>
      </c>
    </row>
    <row r="261" spans="1:6" x14ac:dyDescent="0.3">
      <c r="A261" s="531" t="s">
        <v>182</v>
      </c>
      <c r="B261" s="1795" t="s">
        <v>33</v>
      </c>
      <c r="C261" s="532">
        <v>895</v>
      </c>
      <c r="D261" s="532">
        <v>127</v>
      </c>
      <c r="E261" s="532">
        <v>16.5364583333333</v>
      </c>
      <c r="F261" s="532">
        <v>8.48203992017595</v>
      </c>
    </row>
    <row r="262" spans="1:6" x14ac:dyDescent="0.3">
      <c r="A262" s="533" t="s">
        <v>182</v>
      </c>
      <c r="B262" s="1795" t="s">
        <v>34</v>
      </c>
      <c r="C262" s="534">
        <v>4907</v>
      </c>
      <c r="D262" s="534">
        <v>703</v>
      </c>
      <c r="E262" s="534">
        <v>16.722169362511899</v>
      </c>
      <c r="F262" s="534">
        <v>46.504323897545703</v>
      </c>
    </row>
    <row r="263" spans="1:6" x14ac:dyDescent="0.3">
      <c r="A263" s="535" t="s">
        <v>182</v>
      </c>
      <c r="B263" s="1795" t="s">
        <v>35</v>
      </c>
      <c r="C263" s="536">
        <v>12021</v>
      </c>
      <c r="D263" s="536">
        <v>1684</v>
      </c>
      <c r="E263" s="536">
        <v>16.290993518428898</v>
      </c>
      <c r="F263" s="536">
        <v>113.92469483847501</v>
      </c>
    </row>
    <row r="264" spans="1:6" x14ac:dyDescent="0.3">
      <c r="A264" s="537" t="s">
        <v>182</v>
      </c>
      <c r="B264" s="1795" t="s">
        <v>171</v>
      </c>
      <c r="C264" s="538">
        <v>2758</v>
      </c>
      <c r="D264" s="538">
        <v>87</v>
      </c>
      <c r="E264" s="538">
        <v>3.2572070385623402</v>
      </c>
      <c r="F264" s="538">
        <v>26.1379509495478</v>
      </c>
    </row>
    <row r="265" spans="1:6" x14ac:dyDescent="0.3">
      <c r="A265" s="539" t="s">
        <v>184</v>
      </c>
      <c r="B265" s="1795" t="s">
        <v>185</v>
      </c>
      <c r="C265" s="540">
        <v>274</v>
      </c>
      <c r="D265" s="540">
        <v>82</v>
      </c>
      <c r="E265" s="540">
        <v>42.7083333333333</v>
      </c>
      <c r="F265" s="540">
        <v>2.5967362437186701</v>
      </c>
    </row>
    <row r="266" spans="1:6" x14ac:dyDescent="0.3">
      <c r="A266" s="541" t="s">
        <v>184</v>
      </c>
      <c r="B266" s="1795" t="s">
        <v>23</v>
      </c>
      <c r="C266" s="542">
        <v>109</v>
      </c>
      <c r="D266" s="542">
        <v>27</v>
      </c>
      <c r="E266" s="542">
        <v>32.9268292682927</v>
      </c>
      <c r="F266" s="542">
        <v>1.0330082137420999</v>
      </c>
    </row>
    <row r="267" spans="1:6" x14ac:dyDescent="0.3">
      <c r="A267" s="543" t="s">
        <v>184</v>
      </c>
      <c r="B267" s="1795" t="s">
        <v>24</v>
      </c>
      <c r="C267" s="544">
        <v>89</v>
      </c>
      <c r="D267" s="544">
        <v>30</v>
      </c>
      <c r="E267" s="544">
        <v>50.847457627118601</v>
      </c>
      <c r="F267" s="544">
        <v>0.84346542222978704</v>
      </c>
    </row>
    <row r="268" spans="1:6" x14ac:dyDescent="0.3">
      <c r="A268" s="545" t="s">
        <v>184</v>
      </c>
      <c r="B268" s="1795" t="s">
        <v>25</v>
      </c>
      <c r="C268" s="546">
        <v>20</v>
      </c>
      <c r="D268" s="546">
        <v>-3</v>
      </c>
      <c r="E268" s="546">
        <v>-13.0434782608696</v>
      </c>
      <c r="F268" s="546">
        <v>0.18954279151231199</v>
      </c>
    </row>
    <row r="269" spans="1:6" x14ac:dyDescent="0.3">
      <c r="A269" s="547" t="s">
        <v>184</v>
      </c>
      <c r="B269" s="1795" t="s">
        <v>26</v>
      </c>
      <c r="C269" s="548">
        <v>113</v>
      </c>
      <c r="D269" s="548">
        <v>37</v>
      </c>
      <c r="E269" s="548">
        <v>48.684210526315802</v>
      </c>
      <c r="F269" s="548">
        <v>1.07091677204456</v>
      </c>
    </row>
    <row r="270" spans="1:6" x14ac:dyDescent="0.3">
      <c r="A270" s="549" t="s">
        <v>184</v>
      </c>
      <c r="B270" s="1795" t="s">
        <v>31</v>
      </c>
      <c r="C270" s="550">
        <v>52</v>
      </c>
      <c r="D270" s="550">
        <v>18</v>
      </c>
      <c r="E270" s="550">
        <v>52.941176470588204</v>
      </c>
      <c r="F270" s="550">
        <v>0.49281125793201003</v>
      </c>
    </row>
    <row r="271" spans="1:6" x14ac:dyDescent="0.3">
      <c r="A271" s="551" t="s">
        <v>186</v>
      </c>
      <c r="B271" s="1795" t="s">
        <v>187</v>
      </c>
      <c r="C271" s="552">
        <v>26</v>
      </c>
      <c r="D271" s="552">
        <v>-11</v>
      </c>
      <c r="E271" s="552">
        <v>-29.729729729729701</v>
      </c>
      <c r="F271" s="552">
        <v>0.24640562896600501</v>
      </c>
    </row>
    <row r="272" spans="1:6" x14ac:dyDescent="0.3">
      <c r="A272" s="553" t="s">
        <v>186</v>
      </c>
      <c r="B272" s="1795" t="s">
        <v>23</v>
      </c>
      <c r="C272" s="554">
        <v>13</v>
      </c>
      <c r="D272" s="554">
        <v>-6</v>
      </c>
      <c r="E272" s="554">
        <v>-31.578947368421101</v>
      </c>
      <c r="F272" s="554">
        <v>0.12320281448300301</v>
      </c>
    </row>
    <row r="273" spans="1:6" x14ac:dyDescent="0.3">
      <c r="A273" s="555" t="s">
        <v>186</v>
      </c>
      <c r="B273" s="1795" t="s">
        <v>24</v>
      </c>
      <c r="C273" s="556">
        <v>12</v>
      </c>
      <c r="D273" s="556">
        <v>-2</v>
      </c>
      <c r="E273" s="556">
        <v>-14.285714285714301</v>
      </c>
      <c r="F273" s="556">
        <v>0.113725674907387</v>
      </c>
    </row>
    <row r="274" spans="1:6" x14ac:dyDescent="0.3">
      <c r="A274" s="557" t="s">
        <v>186</v>
      </c>
      <c r="B274" s="1795" t="s">
        <v>25</v>
      </c>
      <c r="C274" s="558">
        <v>1</v>
      </c>
      <c r="D274" s="558">
        <v>-4</v>
      </c>
      <c r="E274" s="558">
        <v>-80</v>
      </c>
      <c r="F274" s="558">
        <v>9.4771395756155907E-3</v>
      </c>
    </row>
    <row r="275" spans="1:6" x14ac:dyDescent="0.3">
      <c r="A275" s="559" t="s">
        <v>186</v>
      </c>
      <c r="B275" s="1795" t="s">
        <v>26</v>
      </c>
      <c r="C275" s="560">
        <v>6</v>
      </c>
      <c r="D275" s="560">
        <v>-6</v>
      </c>
      <c r="E275" s="560">
        <v>-50</v>
      </c>
      <c r="F275" s="560">
        <v>5.6862837453693499E-2</v>
      </c>
    </row>
    <row r="276" spans="1:6" x14ac:dyDescent="0.3">
      <c r="A276" s="561" t="s">
        <v>186</v>
      </c>
      <c r="B276" s="1795" t="s">
        <v>31</v>
      </c>
      <c r="C276" s="562">
        <v>7</v>
      </c>
      <c r="D276" s="562">
        <v>1</v>
      </c>
      <c r="E276" s="562">
        <v>16.6666666666667</v>
      </c>
      <c r="F276" s="562">
        <v>6.6339977029309105E-2</v>
      </c>
    </row>
    <row r="277" spans="1:6" x14ac:dyDescent="0.3">
      <c r="A277" s="563" t="s">
        <v>188</v>
      </c>
      <c r="B277" s="1795" t="s">
        <v>189</v>
      </c>
      <c r="C277" s="564">
        <v>1398</v>
      </c>
      <c r="D277" s="564">
        <v>64</v>
      </c>
      <c r="E277" s="564">
        <v>4.7976011994003001</v>
      </c>
      <c r="F277" s="564">
        <v>13.249041126710599</v>
      </c>
    </row>
    <row r="278" spans="1:6" x14ac:dyDescent="0.3">
      <c r="A278" s="565" t="s">
        <v>190</v>
      </c>
      <c r="B278" s="1795" t="s">
        <v>191</v>
      </c>
      <c r="C278" s="566">
        <v>9905</v>
      </c>
      <c r="D278" s="566">
        <v>-1242</v>
      </c>
      <c r="E278" s="566">
        <v>-11.142011303489699</v>
      </c>
      <c r="F278" s="566">
        <v>93.871067496472406</v>
      </c>
    </row>
    <row r="279" spans="1:6" x14ac:dyDescent="0.3">
      <c r="A279" s="567" t="s">
        <v>190</v>
      </c>
      <c r="B279" s="1795" t="s">
        <v>192</v>
      </c>
      <c r="C279" s="568">
        <v>109</v>
      </c>
      <c r="D279" s="568">
        <v>-157</v>
      </c>
      <c r="E279" s="568">
        <v>-59.0225563909774</v>
      </c>
      <c r="F279" s="568">
        <v>1.0330082137420999</v>
      </c>
    </row>
    <row r="280" spans="1:6" x14ac:dyDescent="0.3">
      <c r="A280" s="569" t="s">
        <v>190</v>
      </c>
      <c r="B280" s="1795" t="s">
        <v>193</v>
      </c>
      <c r="C280" s="570">
        <v>236</v>
      </c>
      <c r="D280" s="570">
        <v>-54</v>
      </c>
      <c r="E280" s="570">
        <v>-18.620689655172399</v>
      </c>
      <c r="F280" s="570">
        <v>2.2366049398452801</v>
      </c>
    </row>
    <row r="281" spans="1:6" x14ac:dyDescent="0.3">
      <c r="A281" s="571" t="s">
        <v>190</v>
      </c>
      <c r="B281" s="1795" t="s">
        <v>194</v>
      </c>
      <c r="C281" s="572">
        <v>999</v>
      </c>
      <c r="D281" s="572">
        <v>-392</v>
      </c>
      <c r="E281" s="572">
        <v>-28.181164629762801</v>
      </c>
      <c r="F281" s="572">
        <v>9.4676624360399693</v>
      </c>
    </row>
    <row r="282" spans="1:6" x14ac:dyDescent="0.3">
      <c r="A282" s="573" t="s">
        <v>190</v>
      </c>
      <c r="B282" s="1795" t="s">
        <v>195</v>
      </c>
      <c r="C282" s="574">
        <v>5072</v>
      </c>
      <c r="D282" s="574">
        <v>-1140</v>
      </c>
      <c r="E282" s="574">
        <v>-18.351577591757898</v>
      </c>
      <c r="F282" s="574">
        <v>48.068051927522198</v>
      </c>
    </row>
    <row r="283" spans="1:6" x14ac:dyDescent="0.3">
      <c r="A283" s="575" t="s">
        <v>190</v>
      </c>
      <c r="B283" s="1795" t="s">
        <v>196</v>
      </c>
      <c r="C283" s="576">
        <v>3489</v>
      </c>
      <c r="D283" s="576">
        <v>501</v>
      </c>
      <c r="E283" s="576">
        <v>16.767068273092399</v>
      </c>
      <c r="F283" s="576">
        <v>33.0657399793228</v>
      </c>
    </row>
    <row r="284" spans="1:6" x14ac:dyDescent="0.3">
      <c r="A284" s="577" t="s">
        <v>197</v>
      </c>
      <c r="B284" s="19" t="s">
        <v>198</v>
      </c>
      <c r="C284" s="578">
        <v>11503</v>
      </c>
      <c r="D284" s="578">
        <v>1501</v>
      </c>
      <c r="E284" s="578">
        <v>15.0069986002799</v>
      </c>
      <c r="F284" s="578">
        <v>109.01553653830599</v>
      </c>
    </row>
    <row r="285" spans="1:6" x14ac:dyDescent="0.3">
      <c r="A285" s="579" t="s">
        <v>197</v>
      </c>
      <c r="B285" s="1795" t="s">
        <v>23</v>
      </c>
      <c r="C285" s="580">
        <v>1439</v>
      </c>
      <c r="D285" s="580">
        <v>226</v>
      </c>
      <c r="E285" s="580">
        <v>18.631492168178099</v>
      </c>
      <c r="F285" s="580">
        <v>13.6376038493108</v>
      </c>
    </row>
    <row r="286" spans="1:6" x14ac:dyDescent="0.3">
      <c r="A286" s="581" t="s">
        <v>197</v>
      </c>
      <c r="B286" s="1795" t="s">
        <v>24</v>
      </c>
      <c r="C286" s="582">
        <v>771</v>
      </c>
      <c r="D286" s="582">
        <v>105</v>
      </c>
      <c r="E286" s="582">
        <v>15.765765765765799</v>
      </c>
      <c r="F286" s="582">
        <v>7.3068746127996196</v>
      </c>
    </row>
    <row r="287" spans="1:6" x14ac:dyDescent="0.3">
      <c r="A287" s="583" t="s">
        <v>197</v>
      </c>
      <c r="B287" s="1795" t="s">
        <v>156</v>
      </c>
      <c r="C287" s="584">
        <v>444</v>
      </c>
      <c r="D287" s="584">
        <v>52</v>
      </c>
      <c r="E287" s="584">
        <v>13.265306122448999</v>
      </c>
      <c r="F287" s="584">
        <v>4.20784997157332</v>
      </c>
    </row>
    <row r="288" spans="1:6" x14ac:dyDescent="0.3">
      <c r="A288" s="585" t="s">
        <v>197</v>
      </c>
      <c r="B288" s="1795" t="s">
        <v>157</v>
      </c>
      <c r="C288" s="586">
        <v>327</v>
      </c>
      <c r="D288" s="586">
        <v>53</v>
      </c>
      <c r="E288" s="586">
        <v>19.343065693430699</v>
      </c>
      <c r="F288" s="586">
        <v>3.0990246412263001</v>
      </c>
    </row>
    <row r="289" spans="1:6" x14ac:dyDescent="0.3">
      <c r="A289" s="587" t="s">
        <v>197</v>
      </c>
      <c r="B289" s="1795" t="s">
        <v>25</v>
      </c>
      <c r="C289" s="588">
        <v>668</v>
      </c>
      <c r="D289" s="588">
        <v>121</v>
      </c>
      <c r="E289" s="588">
        <v>22.120658135283399</v>
      </c>
      <c r="F289" s="588">
        <v>6.3307292365112096</v>
      </c>
    </row>
    <row r="290" spans="1:6" x14ac:dyDescent="0.3">
      <c r="A290" s="589" t="s">
        <v>197</v>
      </c>
      <c r="B290" s="1795" t="s">
        <v>158</v>
      </c>
      <c r="C290" s="590">
        <v>310</v>
      </c>
      <c r="D290" s="590">
        <v>39</v>
      </c>
      <c r="E290" s="590">
        <v>14.3911439114391</v>
      </c>
      <c r="F290" s="590">
        <v>2.93791326844083</v>
      </c>
    </row>
    <row r="291" spans="1:6" x14ac:dyDescent="0.3">
      <c r="A291" s="591" t="s">
        <v>197</v>
      </c>
      <c r="B291" s="1795" t="s">
        <v>159</v>
      </c>
      <c r="C291" s="592">
        <v>358</v>
      </c>
      <c r="D291" s="592">
        <v>82</v>
      </c>
      <c r="E291" s="592">
        <v>29.710144927536199</v>
      </c>
      <c r="F291" s="592">
        <v>3.39281596807038</v>
      </c>
    </row>
    <row r="292" spans="1:6" x14ac:dyDescent="0.3">
      <c r="A292" s="593" t="s">
        <v>197</v>
      </c>
      <c r="B292" s="1795" t="s">
        <v>26</v>
      </c>
      <c r="C292" s="594">
        <v>5106</v>
      </c>
      <c r="D292" s="594">
        <v>918</v>
      </c>
      <c r="E292" s="594">
        <v>21.919770773639002</v>
      </c>
      <c r="F292" s="594">
        <v>48.390274673093202</v>
      </c>
    </row>
    <row r="293" spans="1:6" x14ac:dyDescent="0.3">
      <c r="A293" s="595" t="s">
        <v>197</v>
      </c>
      <c r="B293" s="1795" t="s">
        <v>199</v>
      </c>
      <c r="C293" s="596">
        <v>2349</v>
      </c>
      <c r="D293" s="596">
        <v>579</v>
      </c>
      <c r="E293" s="596">
        <v>32.711864406779704</v>
      </c>
      <c r="F293" s="596">
        <v>22.261800863121</v>
      </c>
    </row>
    <row r="294" spans="1:6" x14ac:dyDescent="0.3">
      <c r="A294" s="597" t="s">
        <v>197</v>
      </c>
      <c r="B294" s="1795" t="s">
        <v>200</v>
      </c>
      <c r="C294" s="598">
        <v>2757</v>
      </c>
      <c r="D294" s="598">
        <v>339</v>
      </c>
      <c r="E294" s="598">
        <v>14.019851116625301</v>
      </c>
      <c r="F294" s="598">
        <v>26.128473809972199</v>
      </c>
    </row>
    <row r="295" spans="1:6" x14ac:dyDescent="0.3">
      <c r="A295" s="599" t="s">
        <v>197</v>
      </c>
      <c r="B295" s="1795" t="s">
        <v>31</v>
      </c>
      <c r="C295" s="600">
        <v>4958</v>
      </c>
      <c r="D295" s="600">
        <v>357</v>
      </c>
      <c r="E295" s="600">
        <v>7.7591827863507898</v>
      </c>
      <c r="F295" s="600">
        <v>46.987658015902099</v>
      </c>
    </row>
    <row r="296" spans="1:6" x14ac:dyDescent="0.3">
      <c r="A296" s="601" t="s">
        <v>197</v>
      </c>
      <c r="B296" s="1795" t="s">
        <v>201</v>
      </c>
      <c r="C296" s="602">
        <v>2174</v>
      </c>
      <c r="D296" s="602">
        <v>268</v>
      </c>
      <c r="E296" s="602">
        <v>14.060860440713499</v>
      </c>
      <c r="F296" s="602">
        <v>20.6033014373883</v>
      </c>
    </row>
    <row r="297" spans="1:6" x14ac:dyDescent="0.3">
      <c r="A297" s="603" t="s">
        <v>197</v>
      </c>
      <c r="B297" s="1795" t="s">
        <v>202</v>
      </c>
      <c r="C297" s="604">
        <v>2784</v>
      </c>
      <c r="D297" s="604">
        <v>89</v>
      </c>
      <c r="E297" s="604">
        <v>3.30241187384045</v>
      </c>
      <c r="F297" s="604">
        <v>26.384356578513799</v>
      </c>
    </row>
    <row r="298" spans="1:6" x14ac:dyDescent="0.3">
      <c r="A298" s="605" t="s">
        <v>203</v>
      </c>
      <c r="B298" s="19" t="s">
        <v>204</v>
      </c>
      <c r="C298" s="606">
        <v>25296</v>
      </c>
      <c r="D298" s="606">
        <v>1615</v>
      </c>
      <c r="E298" s="606">
        <v>6.81981335247667</v>
      </c>
      <c r="F298" s="606">
        <v>239.73372270477199</v>
      </c>
    </row>
    <row r="299" spans="1:6" x14ac:dyDescent="0.3">
      <c r="A299" s="607" t="s">
        <v>205</v>
      </c>
      <c r="B299" s="1795" t="s">
        <v>206</v>
      </c>
      <c r="C299" s="608">
        <v>9866</v>
      </c>
      <c r="D299" s="608">
        <v>685</v>
      </c>
      <c r="E299" s="608">
        <v>7.4610608866136596</v>
      </c>
      <c r="F299" s="608">
        <v>93.501459053023396</v>
      </c>
    </row>
    <row r="300" spans="1:6" x14ac:dyDescent="0.3">
      <c r="A300" s="609" t="s">
        <v>207</v>
      </c>
      <c r="B300" s="1795" t="s">
        <v>208</v>
      </c>
      <c r="C300" s="610">
        <v>9633</v>
      </c>
      <c r="D300" s="610">
        <v>640</v>
      </c>
      <c r="E300" s="610">
        <v>7.1166462804403396</v>
      </c>
      <c r="F300" s="610">
        <v>91.2932855319049</v>
      </c>
    </row>
    <row r="301" spans="1:6" x14ac:dyDescent="0.3">
      <c r="A301" s="611" t="s">
        <v>207</v>
      </c>
      <c r="B301" s="1795" t="s">
        <v>209</v>
      </c>
      <c r="C301" s="612">
        <v>2876</v>
      </c>
      <c r="D301" s="612">
        <v>356</v>
      </c>
      <c r="E301" s="612">
        <v>14.1269841269841</v>
      </c>
      <c r="F301" s="612">
        <v>27.256253419470401</v>
      </c>
    </row>
    <row r="302" spans="1:6" x14ac:dyDescent="0.3">
      <c r="A302" s="613" t="s">
        <v>207</v>
      </c>
      <c r="B302" s="1795" t="s">
        <v>210</v>
      </c>
      <c r="C302" s="614">
        <v>2496</v>
      </c>
      <c r="D302" s="614">
        <v>328</v>
      </c>
      <c r="E302" s="614">
        <v>15.129151291512899</v>
      </c>
      <c r="F302" s="614">
        <v>23.654940380736502</v>
      </c>
    </row>
    <row r="303" spans="1:6" x14ac:dyDescent="0.3">
      <c r="A303" s="615" t="s">
        <v>211</v>
      </c>
      <c r="B303" s="1795" t="s">
        <v>210</v>
      </c>
      <c r="C303" s="616">
        <v>2352</v>
      </c>
      <c r="D303" s="616">
        <v>315</v>
      </c>
      <c r="E303" s="616">
        <v>15.4639175257732</v>
      </c>
      <c r="F303" s="616">
        <v>22.290232281847899</v>
      </c>
    </row>
    <row r="304" spans="1:6" x14ac:dyDescent="0.3">
      <c r="A304" s="617" t="s">
        <v>211</v>
      </c>
      <c r="B304" s="1795" t="s">
        <v>212</v>
      </c>
      <c r="C304" s="618">
        <v>232</v>
      </c>
      <c r="D304" s="618">
        <v>31</v>
      </c>
      <c r="E304" s="618">
        <v>15.4228855721393</v>
      </c>
      <c r="F304" s="618">
        <v>2.19869638154282</v>
      </c>
    </row>
    <row r="305" spans="1:6" x14ac:dyDescent="0.3">
      <c r="A305" s="619" t="s">
        <v>211</v>
      </c>
      <c r="B305" s="1795" t="s">
        <v>213</v>
      </c>
      <c r="C305" s="620">
        <v>2120</v>
      </c>
      <c r="D305" s="620">
        <v>284</v>
      </c>
      <c r="E305" s="620">
        <v>15.4684095860566</v>
      </c>
      <c r="F305" s="620">
        <v>20.091535900305001</v>
      </c>
    </row>
    <row r="306" spans="1:6" x14ac:dyDescent="0.3">
      <c r="A306" s="621" t="s">
        <v>214</v>
      </c>
      <c r="B306" s="1795" t="s">
        <v>210</v>
      </c>
      <c r="C306" s="622">
        <v>144</v>
      </c>
      <c r="D306" s="622">
        <v>13</v>
      </c>
      <c r="E306" s="622">
        <v>9.9236641221373993</v>
      </c>
      <c r="F306" s="622">
        <v>1.36470809888864</v>
      </c>
    </row>
    <row r="307" spans="1:6" x14ac:dyDescent="0.3">
      <c r="A307" s="623" t="s">
        <v>214</v>
      </c>
      <c r="B307" s="1795" t="s">
        <v>212</v>
      </c>
      <c r="C307" s="624">
        <v>26</v>
      </c>
      <c r="D307" s="624">
        <v>-1</v>
      </c>
      <c r="E307" s="624">
        <v>-3.7037037037037002</v>
      </c>
      <c r="F307" s="624">
        <v>0.24640562896600501</v>
      </c>
    </row>
    <row r="308" spans="1:6" x14ac:dyDescent="0.3">
      <c r="A308" s="625" t="s">
        <v>214</v>
      </c>
      <c r="B308" s="1795" t="s">
        <v>213</v>
      </c>
      <c r="C308" s="626">
        <v>118</v>
      </c>
      <c r="D308" s="626">
        <v>14</v>
      </c>
      <c r="E308" s="626">
        <v>13.461538461538501</v>
      </c>
      <c r="F308" s="626">
        <v>1.11830246992264</v>
      </c>
    </row>
    <row r="309" spans="1:6" x14ac:dyDescent="0.3">
      <c r="A309" s="627" t="s">
        <v>207</v>
      </c>
      <c r="B309" s="1795" t="s">
        <v>215</v>
      </c>
      <c r="C309" s="628">
        <v>380</v>
      </c>
      <c r="D309" s="628">
        <v>28</v>
      </c>
      <c r="E309" s="628">
        <v>7.9545454545454497</v>
      </c>
      <c r="F309" s="628">
        <v>3.6013130387339198</v>
      </c>
    </row>
    <row r="310" spans="1:6" x14ac:dyDescent="0.3">
      <c r="A310" s="629" t="s">
        <v>211</v>
      </c>
      <c r="B310" s="1795" t="s">
        <v>215</v>
      </c>
      <c r="C310" s="630">
        <v>350</v>
      </c>
      <c r="D310" s="630">
        <v>14</v>
      </c>
      <c r="E310" s="630">
        <v>4.1666666666666696</v>
      </c>
      <c r="F310" s="630">
        <v>3.31699885146545</v>
      </c>
    </row>
    <row r="311" spans="1:6" x14ac:dyDescent="0.3">
      <c r="A311" s="631" t="s">
        <v>211</v>
      </c>
      <c r="B311" s="1795" t="s">
        <v>216</v>
      </c>
      <c r="C311" s="632">
        <v>39</v>
      </c>
      <c r="D311" s="632">
        <v>14</v>
      </c>
      <c r="E311" s="632">
        <v>56</v>
      </c>
      <c r="F311" s="632">
        <v>0.36960844344900801</v>
      </c>
    </row>
    <row r="312" spans="1:6" x14ac:dyDescent="0.3">
      <c r="A312" s="633" t="s">
        <v>211</v>
      </c>
      <c r="B312" s="1795" t="s">
        <v>217</v>
      </c>
      <c r="C312" s="634">
        <v>311</v>
      </c>
      <c r="D312" s="634">
        <v>0</v>
      </c>
      <c r="E312" s="634">
        <v>0</v>
      </c>
      <c r="F312" s="634">
        <v>2.9473904080164499</v>
      </c>
    </row>
    <row r="313" spans="1:6" x14ac:dyDescent="0.3">
      <c r="A313" s="635" t="s">
        <v>214</v>
      </c>
      <c r="B313" s="1795" t="s">
        <v>215</v>
      </c>
      <c r="C313" s="636">
        <v>30</v>
      </c>
      <c r="D313" s="636">
        <v>14</v>
      </c>
      <c r="E313" s="636">
        <v>87.5</v>
      </c>
      <c r="F313" s="636">
        <v>0.28431418726846802</v>
      </c>
    </row>
    <row r="314" spans="1:6" x14ac:dyDescent="0.3">
      <c r="A314" s="637" t="s">
        <v>214</v>
      </c>
      <c r="B314" s="1795" t="s">
        <v>216</v>
      </c>
      <c r="C314" s="638">
        <v>7</v>
      </c>
      <c r="D314" s="638">
        <v>1</v>
      </c>
      <c r="E314" s="638">
        <v>16.6666666666667</v>
      </c>
      <c r="F314" s="638">
        <v>6.6339977029309105E-2</v>
      </c>
    </row>
    <row r="315" spans="1:6" x14ac:dyDescent="0.3">
      <c r="A315" s="639" t="s">
        <v>214</v>
      </c>
      <c r="B315" s="1795" t="s">
        <v>217</v>
      </c>
      <c r="C315" s="640">
        <v>23</v>
      </c>
      <c r="D315" s="640">
        <v>13</v>
      </c>
      <c r="E315" s="640">
        <v>130</v>
      </c>
      <c r="F315" s="640">
        <v>0.217974210239158</v>
      </c>
    </row>
    <row r="316" spans="1:6" x14ac:dyDescent="0.3">
      <c r="A316" s="641" t="s">
        <v>207</v>
      </c>
      <c r="B316" s="1795" t="s">
        <v>218</v>
      </c>
      <c r="C316" s="642">
        <v>1270</v>
      </c>
      <c r="D316" s="642">
        <v>96</v>
      </c>
      <c r="E316" s="642">
        <v>8.1771720613287897</v>
      </c>
      <c r="F316" s="642">
        <v>12.0359672610318</v>
      </c>
    </row>
    <row r="317" spans="1:6" x14ac:dyDescent="0.3">
      <c r="A317" s="643" t="s">
        <v>207</v>
      </c>
      <c r="B317" s="1795" t="s">
        <v>219</v>
      </c>
      <c r="C317" s="644">
        <v>1193</v>
      </c>
      <c r="D317" s="644">
        <v>76</v>
      </c>
      <c r="E317" s="644">
        <v>6.8039391226499504</v>
      </c>
      <c r="F317" s="644">
        <v>11.3062275137094</v>
      </c>
    </row>
    <row r="318" spans="1:6" x14ac:dyDescent="0.3">
      <c r="A318" s="645" t="s">
        <v>211</v>
      </c>
      <c r="B318" s="1795" t="s">
        <v>219</v>
      </c>
      <c r="C318" s="646">
        <v>1146</v>
      </c>
      <c r="D318" s="646">
        <v>81</v>
      </c>
      <c r="E318" s="646">
        <v>7.6056338028169002</v>
      </c>
      <c r="F318" s="646">
        <v>10.8608019536555</v>
      </c>
    </row>
    <row r="319" spans="1:6" x14ac:dyDescent="0.3">
      <c r="A319" s="647" t="s">
        <v>211</v>
      </c>
      <c r="B319" s="1795" t="s">
        <v>220</v>
      </c>
      <c r="C319" s="648">
        <v>136</v>
      </c>
      <c r="D319" s="648">
        <v>-2</v>
      </c>
      <c r="E319" s="648">
        <v>-1.4492753623188399</v>
      </c>
      <c r="F319" s="648">
        <v>1.28889098228372</v>
      </c>
    </row>
    <row r="320" spans="1:6" x14ac:dyDescent="0.3">
      <c r="A320" s="649" t="s">
        <v>211</v>
      </c>
      <c r="B320" s="1795" t="s">
        <v>221</v>
      </c>
      <c r="C320" s="650">
        <v>1010</v>
      </c>
      <c r="D320" s="650">
        <v>83</v>
      </c>
      <c r="E320" s="650">
        <v>8.9536138079827392</v>
      </c>
      <c r="F320" s="650">
        <v>9.5719109713717394</v>
      </c>
    </row>
    <row r="321" spans="1:6" x14ac:dyDescent="0.3">
      <c r="A321" s="651" t="s">
        <v>222</v>
      </c>
      <c r="B321" s="1795" t="s">
        <v>219</v>
      </c>
      <c r="C321" s="652">
        <v>47</v>
      </c>
      <c r="D321" s="652">
        <v>-5</v>
      </c>
      <c r="E321" s="652">
        <v>-9.6153846153846203</v>
      </c>
      <c r="F321" s="652">
        <v>0.44542556005393302</v>
      </c>
    </row>
    <row r="322" spans="1:6" x14ac:dyDescent="0.3">
      <c r="A322" s="653" t="s">
        <v>222</v>
      </c>
      <c r="B322" s="1795" t="s">
        <v>220</v>
      </c>
      <c r="C322" s="654">
        <v>16</v>
      </c>
      <c r="D322" s="654">
        <v>4</v>
      </c>
      <c r="E322" s="654">
        <v>33.3333333333333</v>
      </c>
      <c r="F322" s="654">
        <v>0.15163423320984901</v>
      </c>
    </row>
    <row r="323" spans="1:6" x14ac:dyDescent="0.3">
      <c r="A323" s="655" t="s">
        <v>222</v>
      </c>
      <c r="B323" s="1795" t="s">
        <v>221</v>
      </c>
      <c r="C323" s="656">
        <v>31</v>
      </c>
      <c r="D323" s="656">
        <v>-9</v>
      </c>
      <c r="E323" s="656">
        <v>-22.5</v>
      </c>
      <c r="F323" s="656">
        <v>0.29379132684408299</v>
      </c>
    </row>
    <row r="324" spans="1:6" x14ac:dyDescent="0.3">
      <c r="A324" s="657" t="s">
        <v>207</v>
      </c>
      <c r="B324" s="1795" t="s">
        <v>223</v>
      </c>
      <c r="C324" s="658">
        <v>77</v>
      </c>
      <c r="D324" s="658">
        <v>20</v>
      </c>
      <c r="E324" s="658">
        <v>35.087719298245602</v>
      </c>
      <c r="F324" s="658">
        <v>0.72973974732239999</v>
      </c>
    </row>
    <row r="325" spans="1:6" x14ac:dyDescent="0.3">
      <c r="A325" s="659" t="s">
        <v>211</v>
      </c>
      <c r="B325" s="1795" t="s">
        <v>223</v>
      </c>
      <c r="C325" s="660">
        <v>71</v>
      </c>
      <c r="D325" s="660">
        <v>20</v>
      </c>
      <c r="E325" s="660">
        <v>39.2156862745098</v>
      </c>
      <c r="F325" s="660">
        <v>0.67287690986870696</v>
      </c>
    </row>
    <row r="326" spans="1:6" x14ac:dyDescent="0.3">
      <c r="A326" s="661" t="s">
        <v>211</v>
      </c>
      <c r="B326" s="1795" t="s">
        <v>224</v>
      </c>
      <c r="C326" s="662">
        <v>13</v>
      </c>
      <c r="D326" s="662">
        <v>2</v>
      </c>
      <c r="E326" s="662">
        <v>18.181818181818201</v>
      </c>
      <c r="F326" s="662">
        <v>0.12320281448300301</v>
      </c>
    </row>
    <row r="327" spans="1:6" x14ac:dyDescent="0.3">
      <c r="A327" s="663" t="s">
        <v>211</v>
      </c>
      <c r="B327" s="1795" t="s">
        <v>225</v>
      </c>
      <c r="C327" s="664">
        <v>58</v>
      </c>
      <c r="D327" s="664">
        <v>18</v>
      </c>
      <c r="E327" s="664">
        <v>45</v>
      </c>
      <c r="F327" s="664">
        <v>0.549674095385704</v>
      </c>
    </row>
    <row r="328" spans="1:6" x14ac:dyDescent="0.3">
      <c r="A328" s="665" t="s">
        <v>222</v>
      </c>
      <c r="B328" s="1795" t="s">
        <v>223</v>
      </c>
      <c r="C328" s="666">
        <v>6</v>
      </c>
      <c r="D328" s="666">
        <v>0</v>
      </c>
      <c r="E328" s="666">
        <v>0</v>
      </c>
      <c r="F328" s="666">
        <v>5.6862837453693499E-2</v>
      </c>
    </row>
    <row r="329" spans="1:6" x14ac:dyDescent="0.3">
      <c r="A329" s="667" t="s">
        <v>222</v>
      </c>
      <c r="B329" s="1795" t="s">
        <v>224</v>
      </c>
      <c r="C329" s="668">
        <v>2</v>
      </c>
      <c r="D329" s="668">
        <v>2</v>
      </c>
      <c r="E329" s="668" t="s">
        <v>38</v>
      </c>
      <c r="F329" s="668">
        <v>1.8954279151231199E-2</v>
      </c>
    </row>
    <row r="330" spans="1:6" x14ac:dyDescent="0.3">
      <c r="A330" s="669" t="s">
        <v>222</v>
      </c>
      <c r="B330" s="1795" t="s">
        <v>225</v>
      </c>
      <c r="C330" s="670">
        <v>4</v>
      </c>
      <c r="D330" s="670">
        <v>-2</v>
      </c>
      <c r="E330" s="670">
        <v>-33.3333333333333</v>
      </c>
      <c r="F330" s="670">
        <v>3.79085583024623E-2</v>
      </c>
    </row>
    <row r="331" spans="1:6" x14ac:dyDescent="0.3">
      <c r="A331" s="671" t="s">
        <v>226</v>
      </c>
      <c r="B331" s="1795" t="s">
        <v>227</v>
      </c>
      <c r="C331" s="672">
        <v>5167</v>
      </c>
      <c r="D331" s="672">
        <v>148</v>
      </c>
      <c r="E331" s="672">
        <v>2.9487945805937401</v>
      </c>
      <c r="F331" s="672">
        <v>48.968380187205703</v>
      </c>
    </row>
    <row r="332" spans="1:6" x14ac:dyDescent="0.3">
      <c r="A332" s="673" t="s">
        <v>226</v>
      </c>
      <c r="B332" s="1797" t="s">
        <v>27</v>
      </c>
      <c r="C332" s="674">
        <v>1872</v>
      </c>
      <c r="D332" s="674">
        <v>198</v>
      </c>
      <c r="E332" s="674">
        <v>11.8279569892473</v>
      </c>
      <c r="F332" s="674">
        <v>17.7412052855524</v>
      </c>
    </row>
    <row r="333" spans="1:6" x14ac:dyDescent="0.3">
      <c r="A333" s="675" t="s">
        <v>228</v>
      </c>
      <c r="B333" s="1797" t="s">
        <v>27</v>
      </c>
      <c r="C333" s="676">
        <v>1798</v>
      </c>
      <c r="D333" s="676">
        <v>196</v>
      </c>
      <c r="E333" s="676">
        <v>12.234706616729101</v>
      </c>
      <c r="F333" s="676">
        <v>17.039896956956799</v>
      </c>
    </row>
    <row r="334" spans="1:6" x14ac:dyDescent="0.3">
      <c r="A334" s="677" t="s">
        <v>229</v>
      </c>
      <c r="B334" s="1797" t="s">
        <v>27</v>
      </c>
      <c r="C334" s="678">
        <v>74</v>
      </c>
      <c r="D334" s="678">
        <v>2</v>
      </c>
      <c r="E334" s="678">
        <v>2.7777777777777799</v>
      </c>
      <c r="F334" s="678">
        <v>0.70130832859555303</v>
      </c>
    </row>
    <row r="335" spans="1:6" x14ac:dyDescent="0.3">
      <c r="A335" s="679" t="s">
        <v>226</v>
      </c>
      <c r="B335" s="1797" t="s">
        <v>28</v>
      </c>
      <c r="C335" s="680">
        <v>101</v>
      </c>
      <c r="D335" s="680">
        <v>16</v>
      </c>
      <c r="E335" s="680">
        <v>18.823529411764699</v>
      </c>
      <c r="F335" s="680">
        <v>0.95719109713717399</v>
      </c>
    </row>
    <row r="336" spans="1:6" x14ac:dyDescent="0.3">
      <c r="A336" s="681" t="s">
        <v>228</v>
      </c>
      <c r="B336" s="1797" t="s">
        <v>28</v>
      </c>
      <c r="C336" s="682">
        <v>92</v>
      </c>
      <c r="D336" s="682">
        <v>13</v>
      </c>
      <c r="E336" s="682">
        <v>16.455696202531598</v>
      </c>
      <c r="F336" s="682">
        <v>0.871896840956634</v>
      </c>
    </row>
    <row r="337" spans="1:6" x14ac:dyDescent="0.3">
      <c r="A337" s="683" t="s">
        <v>229</v>
      </c>
      <c r="B337" s="1797" t="s">
        <v>28</v>
      </c>
      <c r="C337" s="684">
        <v>9</v>
      </c>
      <c r="D337" s="684">
        <v>3</v>
      </c>
      <c r="E337" s="684">
        <v>50</v>
      </c>
      <c r="F337" s="684">
        <v>8.5294256180540304E-2</v>
      </c>
    </row>
    <row r="338" spans="1:6" x14ac:dyDescent="0.3">
      <c r="A338" s="1797" t="s">
        <v>226</v>
      </c>
      <c r="B338" s="1797" t="s">
        <v>29</v>
      </c>
      <c r="C338" s="686">
        <v>1909</v>
      </c>
      <c r="D338" s="686">
        <v>-83</v>
      </c>
      <c r="E338" s="686">
        <v>-4.1666666666666696</v>
      </c>
      <c r="F338" s="686">
        <v>18.091859449850201</v>
      </c>
    </row>
    <row r="339" spans="1:6" x14ac:dyDescent="0.3">
      <c r="A339" s="687" t="s">
        <v>228</v>
      </c>
      <c r="B339" s="1797" t="s">
        <v>29</v>
      </c>
      <c r="C339" s="688">
        <v>1786</v>
      </c>
      <c r="D339" s="688">
        <v>-92</v>
      </c>
      <c r="E339" s="688">
        <v>-4.8988285410010697</v>
      </c>
      <c r="F339" s="688">
        <v>16.926171282049399</v>
      </c>
    </row>
    <row r="340" spans="1:6" x14ac:dyDescent="0.3">
      <c r="A340" s="689" t="s">
        <v>228</v>
      </c>
      <c r="B340" s="1795" t="s">
        <v>230</v>
      </c>
      <c r="C340" s="690">
        <v>83</v>
      </c>
      <c r="D340" s="690">
        <v>-24</v>
      </c>
      <c r="E340" s="690">
        <v>-22.429906542056099</v>
      </c>
      <c r="F340" s="690">
        <v>0.78660258477609402</v>
      </c>
    </row>
    <row r="341" spans="1:6" x14ac:dyDescent="0.3">
      <c r="A341" s="691" t="s">
        <v>228</v>
      </c>
      <c r="B341" s="1795" t="s">
        <v>231</v>
      </c>
      <c r="C341" s="692">
        <v>1703</v>
      </c>
      <c r="D341" s="692">
        <v>-68</v>
      </c>
      <c r="E341" s="692">
        <v>-3.8396386222473202</v>
      </c>
      <c r="F341" s="692">
        <v>16.139568697273301</v>
      </c>
    </row>
    <row r="342" spans="1:6" x14ac:dyDescent="0.3">
      <c r="A342" s="693" t="s">
        <v>229</v>
      </c>
      <c r="B342" s="1797" t="s">
        <v>29</v>
      </c>
      <c r="C342" s="694">
        <v>123</v>
      </c>
      <c r="D342" s="694">
        <v>9</v>
      </c>
      <c r="E342" s="694">
        <v>7.8947368421052602</v>
      </c>
      <c r="F342" s="694">
        <v>1.16568816780072</v>
      </c>
    </row>
    <row r="343" spans="1:6" x14ac:dyDescent="0.3">
      <c r="A343" s="695" t="s">
        <v>229</v>
      </c>
      <c r="B343" s="1795" t="s">
        <v>230</v>
      </c>
      <c r="C343" s="696">
        <v>12</v>
      </c>
      <c r="D343" s="696">
        <v>-2</v>
      </c>
      <c r="E343" s="696">
        <v>-14.285714285714301</v>
      </c>
      <c r="F343" s="696">
        <v>0.113725674907387</v>
      </c>
    </row>
    <row r="344" spans="1:6" x14ac:dyDescent="0.3">
      <c r="A344" s="697" t="s">
        <v>229</v>
      </c>
      <c r="B344" s="1795" t="s">
        <v>231</v>
      </c>
      <c r="C344" s="698">
        <v>111</v>
      </c>
      <c r="D344" s="698">
        <v>11</v>
      </c>
      <c r="E344" s="698">
        <v>11</v>
      </c>
      <c r="F344" s="698">
        <v>1.05196249289333</v>
      </c>
    </row>
    <row r="345" spans="1:6" x14ac:dyDescent="0.3">
      <c r="A345" s="699" t="s">
        <v>226</v>
      </c>
      <c r="B345" s="1795" t="s">
        <v>232</v>
      </c>
      <c r="C345" s="700">
        <v>1285</v>
      </c>
      <c r="D345" s="700">
        <v>17</v>
      </c>
      <c r="E345" s="700">
        <v>1.3406940063091499</v>
      </c>
      <c r="F345" s="700">
        <v>12.178124354666</v>
      </c>
    </row>
    <row r="346" spans="1:6" x14ac:dyDescent="0.3">
      <c r="A346" s="701" t="s">
        <v>228</v>
      </c>
      <c r="B346" s="1797" t="s">
        <v>30</v>
      </c>
      <c r="C346" s="702">
        <v>1153</v>
      </c>
      <c r="D346" s="702">
        <v>29</v>
      </c>
      <c r="E346" s="702">
        <v>2.58007117437722</v>
      </c>
      <c r="F346" s="702">
        <v>10.927141930684799</v>
      </c>
    </row>
    <row r="347" spans="1:6" x14ac:dyDescent="0.3">
      <c r="A347" s="703" t="s">
        <v>228</v>
      </c>
      <c r="B347" s="1795" t="s">
        <v>233</v>
      </c>
      <c r="C347" s="704">
        <v>247</v>
      </c>
      <c r="D347" s="704">
        <v>15</v>
      </c>
      <c r="E347" s="704">
        <v>6.4655172413793096</v>
      </c>
      <c r="F347" s="704">
        <v>2.3408534751770498</v>
      </c>
    </row>
    <row r="348" spans="1:6" x14ac:dyDescent="0.3">
      <c r="A348" s="705" t="s">
        <v>228</v>
      </c>
      <c r="B348" s="1795" t="s">
        <v>234</v>
      </c>
      <c r="C348" s="706">
        <v>906</v>
      </c>
      <c r="D348" s="706">
        <v>14</v>
      </c>
      <c r="E348" s="706">
        <v>1.5695067264574001</v>
      </c>
      <c r="F348" s="706">
        <v>8.5862884555077201</v>
      </c>
    </row>
    <row r="349" spans="1:6" x14ac:dyDescent="0.3">
      <c r="A349" s="707" t="s">
        <v>229</v>
      </c>
      <c r="B349" s="1795" t="s">
        <v>232</v>
      </c>
      <c r="C349" s="708">
        <v>132</v>
      </c>
      <c r="D349" s="708">
        <v>-12</v>
      </c>
      <c r="E349" s="708">
        <v>-8.3333333333333304</v>
      </c>
      <c r="F349" s="708">
        <v>1.2509824239812599</v>
      </c>
    </row>
    <row r="350" spans="1:6" x14ac:dyDescent="0.3">
      <c r="A350" s="709" t="s">
        <v>229</v>
      </c>
      <c r="B350" s="1795" t="s">
        <v>233</v>
      </c>
      <c r="C350" s="710">
        <v>64</v>
      </c>
      <c r="D350" s="710">
        <v>-3</v>
      </c>
      <c r="E350" s="710">
        <v>-4.4776119402985097</v>
      </c>
      <c r="F350" s="710">
        <v>0.60653693283939702</v>
      </c>
    </row>
    <row r="351" spans="1:6" x14ac:dyDescent="0.3">
      <c r="A351" s="711" t="s">
        <v>229</v>
      </c>
      <c r="B351" s="1795" t="s">
        <v>234</v>
      </c>
      <c r="C351" s="712">
        <v>68</v>
      </c>
      <c r="D351" s="712">
        <v>-9</v>
      </c>
      <c r="E351" s="712">
        <v>-11.6883116883117</v>
      </c>
      <c r="F351" s="712">
        <v>0.64444549114186001</v>
      </c>
    </row>
    <row r="352" spans="1:6" x14ac:dyDescent="0.3">
      <c r="A352" s="713" t="s">
        <v>226</v>
      </c>
      <c r="B352" s="1795" t="s">
        <v>235</v>
      </c>
      <c r="C352" s="714">
        <v>320</v>
      </c>
      <c r="D352" s="714">
        <v>40</v>
      </c>
      <c r="E352" s="714">
        <v>14.285714285714301</v>
      </c>
      <c r="F352" s="714">
        <v>3.03268466419699</v>
      </c>
    </row>
    <row r="353" spans="1:6" x14ac:dyDescent="0.3">
      <c r="A353" s="715" t="s">
        <v>226</v>
      </c>
      <c r="B353" s="1795" t="s">
        <v>32</v>
      </c>
      <c r="C353" s="716">
        <v>61</v>
      </c>
      <c r="D353" s="716">
        <v>23</v>
      </c>
      <c r="E353" s="716">
        <v>60.526315789473699</v>
      </c>
      <c r="F353" s="716">
        <v>0.57810551411255096</v>
      </c>
    </row>
    <row r="354" spans="1:6" x14ac:dyDescent="0.3">
      <c r="A354" s="717" t="s">
        <v>228</v>
      </c>
      <c r="B354" s="1795" t="s">
        <v>32</v>
      </c>
      <c r="C354" s="718">
        <v>56</v>
      </c>
      <c r="D354" s="718">
        <v>21</v>
      </c>
      <c r="E354" s="718">
        <v>60</v>
      </c>
      <c r="F354" s="718">
        <v>0.53071981623447295</v>
      </c>
    </row>
    <row r="355" spans="1:6" x14ac:dyDescent="0.3">
      <c r="A355" s="719" t="s">
        <v>229</v>
      </c>
      <c r="B355" s="1795" t="s">
        <v>32</v>
      </c>
      <c r="C355" s="720">
        <v>5</v>
      </c>
      <c r="D355" s="720">
        <v>2</v>
      </c>
      <c r="E355" s="720">
        <v>66.6666666666667</v>
      </c>
      <c r="F355" s="720">
        <v>4.73856978780779E-2</v>
      </c>
    </row>
    <row r="356" spans="1:6" x14ac:dyDescent="0.3">
      <c r="A356" s="721" t="s">
        <v>226</v>
      </c>
      <c r="B356" s="1795" t="s">
        <v>33</v>
      </c>
      <c r="C356" s="722">
        <v>14</v>
      </c>
      <c r="D356" s="722">
        <v>1</v>
      </c>
      <c r="E356" s="722">
        <v>7.6923076923076898</v>
      </c>
      <c r="F356" s="722">
        <v>0.13267995405861799</v>
      </c>
    </row>
    <row r="357" spans="1:6" x14ac:dyDescent="0.3">
      <c r="A357" s="723" t="s">
        <v>228</v>
      </c>
      <c r="B357" s="1795" t="s">
        <v>33</v>
      </c>
      <c r="C357" s="724">
        <v>12</v>
      </c>
      <c r="D357" s="724">
        <v>0</v>
      </c>
      <c r="E357" s="724">
        <v>0</v>
      </c>
      <c r="F357" s="724">
        <v>0.113725674907387</v>
      </c>
    </row>
    <row r="358" spans="1:6" x14ac:dyDescent="0.3">
      <c r="A358" s="725" t="s">
        <v>229</v>
      </c>
      <c r="B358" s="1795" t="s">
        <v>33</v>
      </c>
      <c r="C358" s="726">
        <v>2</v>
      </c>
      <c r="D358" s="726">
        <v>1</v>
      </c>
      <c r="E358" s="726">
        <v>100</v>
      </c>
      <c r="F358" s="726">
        <v>1.8954279151231199E-2</v>
      </c>
    </row>
    <row r="359" spans="1:6" x14ac:dyDescent="0.3">
      <c r="A359" s="727" t="s">
        <v>226</v>
      </c>
      <c r="B359" s="1795" t="s">
        <v>34</v>
      </c>
      <c r="C359" s="728">
        <v>129</v>
      </c>
      <c r="D359" s="728">
        <v>15</v>
      </c>
      <c r="E359" s="728">
        <v>13.157894736842101</v>
      </c>
      <c r="F359" s="728">
        <v>1.22255100525441</v>
      </c>
    </row>
    <row r="360" spans="1:6" x14ac:dyDescent="0.3">
      <c r="A360" s="729" t="s">
        <v>228</v>
      </c>
      <c r="B360" s="1795" t="s">
        <v>34</v>
      </c>
      <c r="C360" s="730">
        <v>120</v>
      </c>
      <c r="D360" s="730">
        <v>14</v>
      </c>
      <c r="E360" s="730">
        <v>13.207547169811299</v>
      </c>
      <c r="F360" s="730">
        <v>1.1372567490738701</v>
      </c>
    </row>
    <row r="361" spans="1:6" x14ac:dyDescent="0.3">
      <c r="A361" s="731" t="s">
        <v>228</v>
      </c>
      <c r="B361" s="1795" t="s">
        <v>236</v>
      </c>
      <c r="C361" s="732">
        <v>11</v>
      </c>
      <c r="D361" s="732">
        <v>9</v>
      </c>
      <c r="E361" s="732">
        <v>450</v>
      </c>
      <c r="F361" s="732">
        <v>0.104248535331771</v>
      </c>
    </row>
    <row r="362" spans="1:6" x14ac:dyDescent="0.3">
      <c r="A362" s="733" t="s">
        <v>228</v>
      </c>
      <c r="B362" s="1795" t="s">
        <v>237</v>
      </c>
      <c r="C362" s="734">
        <v>109</v>
      </c>
      <c r="D362" s="734">
        <v>5</v>
      </c>
      <c r="E362" s="734">
        <v>4.8076923076923102</v>
      </c>
      <c r="F362" s="734">
        <v>1.0330082137420999</v>
      </c>
    </row>
    <row r="363" spans="1:6" x14ac:dyDescent="0.3">
      <c r="A363" s="735" t="s">
        <v>229</v>
      </c>
      <c r="B363" s="1795" t="s">
        <v>34</v>
      </c>
      <c r="C363" s="736">
        <v>9</v>
      </c>
      <c r="D363" s="736">
        <v>1</v>
      </c>
      <c r="E363" s="736">
        <v>12.5</v>
      </c>
      <c r="F363" s="736">
        <v>8.5294256180540304E-2</v>
      </c>
    </row>
    <row r="364" spans="1:6" x14ac:dyDescent="0.3">
      <c r="A364" s="737" t="s">
        <v>229</v>
      </c>
      <c r="B364" s="1795" t="s">
        <v>236</v>
      </c>
      <c r="C364" s="738">
        <v>0</v>
      </c>
      <c r="D364" s="738">
        <v>0</v>
      </c>
      <c r="E364" s="738" t="s">
        <v>38</v>
      </c>
      <c r="F364" s="738">
        <v>0</v>
      </c>
    </row>
    <row r="365" spans="1:6" x14ac:dyDescent="0.3">
      <c r="A365" s="739" t="s">
        <v>229</v>
      </c>
      <c r="B365" s="1795" t="s">
        <v>237</v>
      </c>
      <c r="C365" s="740">
        <v>9</v>
      </c>
      <c r="D365" s="740">
        <v>1</v>
      </c>
      <c r="E365" s="740">
        <v>12.5</v>
      </c>
      <c r="F365" s="740">
        <v>8.5294256180540304E-2</v>
      </c>
    </row>
    <row r="366" spans="1:6" x14ac:dyDescent="0.3">
      <c r="A366" s="741" t="s">
        <v>226</v>
      </c>
      <c r="B366" s="1795" t="s">
        <v>238</v>
      </c>
      <c r="C366" s="742">
        <v>116</v>
      </c>
      <c r="D366" s="742">
        <v>1</v>
      </c>
      <c r="E366" s="742">
        <v>0.86956521739130399</v>
      </c>
      <c r="F366" s="742">
        <v>1.09934819077141</v>
      </c>
    </row>
    <row r="367" spans="1:6" x14ac:dyDescent="0.3">
      <c r="A367" s="743" t="s">
        <v>228</v>
      </c>
      <c r="B367" s="1795" t="s">
        <v>35</v>
      </c>
      <c r="C367" s="744">
        <v>104</v>
      </c>
      <c r="D367" s="744">
        <v>-2</v>
      </c>
      <c r="E367" s="744">
        <v>-1.88679245283019</v>
      </c>
      <c r="F367" s="744">
        <v>0.98562251586402105</v>
      </c>
    </row>
    <row r="368" spans="1:6" x14ac:dyDescent="0.3">
      <c r="A368" s="745" t="s">
        <v>228</v>
      </c>
      <c r="B368" s="1795" t="s">
        <v>239</v>
      </c>
      <c r="C368" s="746">
        <v>24</v>
      </c>
      <c r="D368" s="746">
        <v>3</v>
      </c>
      <c r="E368" s="746">
        <v>14.285714285714301</v>
      </c>
      <c r="F368" s="746">
        <v>0.227451349814774</v>
      </c>
    </row>
    <row r="369" spans="1:6" x14ac:dyDescent="0.3">
      <c r="A369" s="747" t="s">
        <v>228</v>
      </c>
      <c r="B369" s="1795" t="s">
        <v>240</v>
      </c>
      <c r="C369" s="748">
        <v>80</v>
      </c>
      <c r="D369" s="748">
        <v>-5</v>
      </c>
      <c r="E369" s="748">
        <v>-5.8823529411764701</v>
      </c>
      <c r="F369" s="748">
        <v>0.75817116604924695</v>
      </c>
    </row>
    <row r="370" spans="1:6" x14ac:dyDescent="0.3">
      <c r="A370" s="749" t="s">
        <v>229</v>
      </c>
      <c r="B370" s="1795" t="s">
        <v>35</v>
      </c>
      <c r="C370" s="750">
        <v>12</v>
      </c>
      <c r="D370" s="750">
        <v>3</v>
      </c>
      <c r="E370" s="750">
        <v>33.3333333333333</v>
      </c>
      <c r="F370" s="750">
        <v>0.113725674907387</v>
      </c>
    </row>
    <row r="371" spans="1:6" x14ac:dyDescent="0.3">
      <c r="A371" s="751" t="s">
        <v>229</v>
      </c>
      <c r="B371" s="1795" t="s">
        <v>239</v>
      </c>
      <c r="C371" s="752">
        <v>2</v>
      </c>
      <c r="D371" s="752">
        <v>-2</v>
      </c>
      <c r="E371" s="752">
        <v>-50</v>
      </c>
      <c r="F371" s="752">
        <v>1.8954279151231199E-2</v>
      </c>
    </row>
    <row r="372" spans="1:6" x14ac:dyDescent="0.3">
      <c r="A372" s="753" t="s">
        <v>229</v>
      </c>
      <c r="B372" s="1795" t="s">
        <v>240</v>
      </c>
      <c r="C372" s="754">
        <v>10</v>
      </c>
      <c r="D372" s="754">
        <v>5</v>
      </c>
      <c r="E372" s="754">
        <v>100</v>
      </c>
      <c r="F372" s="754">
        <v>9.4771395756155896E-2</v>
      </c>
    </row>
    <row r="373" spans="1:6" x14ac:dyDescent="0.3">
      <c r="A373" s="755" t="s">
        <v>241</v>
      </c>
      <c r="B373" s="1795" t="s">
        <v>242</v>
      </c>
      <c r="C373" s="756">
        <v>233</v>
      </c>
      <c r="D373" s="756">
        <v>45</v>
      </c>
      <c r="E373" s="756">
        <v>23.936170212766001</v>
      </c>
      <c r="F373" s="756">
        <v>2.2081735211184301</v>
      </c>
    </row>
    <row r="374" spans="1:6" x14ac:dyDescent="0.3">
      <c r="A374" s="757" t="s">
        <v>241</v>
      </c>
      <c r="B374" s="1795" t="s">
        <v>72</v>
      </c>
      <c r="C374" s="758">
        <v>44</v>
      </c>
      <c r="D374" s="758">
        <v>5</v>
      </c>
      <c r="E374" s="758">
        <v>12.8205128205128</v>
      </c>
      <c r="F374" s="758">
        <v>0.41699414132708601</v>
      </c>
    </row>
    <row r="375" spans="1:6" x14ac:dyDescent="0.3">
      <c r="A375" s="759" t="s">
        <v>241</v>
      </c>
      <c r="B375" s="1795" t="s">
        <v>243</v>
      </c>
      <c r="C375" s="760">
        <v>6</v>
      </c>
      <c r="D375" s="760">
        <v>-1</v>
      </c>
      <c r="E375" s="760">
        <v>-14.285714285714301</v>
      </c>
      <c r="F375" s="760">
        <v>5.6862837453693499E-2</v>
      </c>
    </row>
    <row r="376" spans="1:6" x14ac:dyDescent="0.3">
      <c r="A376" s="761" t="s">
        <v>241</v>
      </c>
      <c r="B376" s="1795" t="s">
        <v>244</v>
      </c>
      <c r="C376" s="762">
        <v>38</v>
      </c>
      <c r="D376" s="762">
        <v>6</v>
      </c>
      <c r="E376" s="762">
        <v>18.75</v>
      </c>
      <c r="F376" s="762">
        <v>0.36013130387339198</v>
      </c>
    </row>
    <row r="377" spans="1:6" x14ac:dyDescent="0.3">
      <c r="A377" s="763" t="s">
        <v>241</v>
      </c>
      <c r="B377" s="1795" t="s">
        <v>79</v>
      </c>
      <c r="C377" s="764">
        <v>1</v>
      </c>
      <c r="D377" s="764">
        <v>-1</v>
      </c>
      <c r="E377" s="764">
        <v>-50</v>
      </c>
      <c r="F377" s="764">
        <v>9.4771395756155907E-3</v>
      </c>
    </row>
    <row r="378" spans="1:6" x14ac:dyDescent="0.3">
      <c r="A378" s="765" t="s">
        <v>241</v>
      </c>
      <c r="B378" s="1795" t="s">
        <v>245</v>
      </c>
      <c r="C378" s="766">
        <v>0</v>
      </c>
      <c r="D378" s="766">
        <v>0</v>
      </c>
      <c r="E378" s="766" t="s">
        <v>38</v>
      </c>
      <c r="F378" s="766">
        <v>0</v>
      </c>
    </row>
    <row r="379" spans="1:6" x14ac:dyDescent="0.3">
      <c r="A379" s="767" t="s">
        <v>241</v>
      </c>
      <c r="B379" s="1795" t="s">
        <v>246</v>
      </c>
      <c r="C379" s="768">
        <v>1</v>
      </c>
      <c r="D379" s="768">
        <v>-1</v>
      </c>
      <c r="E379" s="768">
        <v>-50</v>
      </c>
      <c r="F379" s="768">
        <v>9.4771395756155907E-3</v>
      </c>
    </row>
    <row r="380" spans="1:6" x14ac:dyDescent="0.3">
      <c r="A380" s="769" t="s">
        <v>241</v>
      </c>
      <c r="B380" s="1795" t="s">
        <v>26</v>
      </c>
      <c r="C380" s="770">
        <v>178</v>
      </c>
      <c r="D380" s="770">
        <v>39</v>
      </c>
      <c r="E380" s="770">
        <v>28.0575539568345</v>
      </c>
      <c r="F380" s="770">
        <v>1.6869308444595701</v>
      </c>
    </row>
    <row r="381" spans="1:6" x14ac:dyDescent="0.3">
      <c r="A381" s="771" t="s">
        <v>241</v>
      </c>
      <c r="B381" s="1795" t="s">
        <v>27</v>
      </c>
      <c r="C381" s="772">
        <v>59</v>
      </c>
      <c r="D381" s="772">
        <v>-3</v>
      </c>
      <c r="E381" s="772">
        <v>-4.8387096774193497</v>
      </c>
      <c r="F381" s="772">
        <v>0.55915123496132002</v>
      </c>
    </row>
    <row r="382" spans="1:6" x14ac:dyDescent="0.3">
      <c r="A382" s="773" t="s">
        <v>241</v>
      </c>
      <c r="B382" s="1795" t="s">
        <v>28</v>
      </c>
      <c r="C382" s="774">
        <v>1</v>
      </c>
      <c r="D382" s="774">
        <v>0</v>
      </c>
      <c r="E382" s="774">
        <v>0</v>
      </c>
      <c r="F382" s="774">
        <v>9.4771395756155907E-3</v>
      </c>
    </row>
    <row r="383" spans="1:6" x14ac:dyDescent="0.3">
      <c r="A383" s="775" t="s">
        <v>241</v>
      </c>
      <c r="B383" s="1795" t="s">
        <v>29</v>
      </c>
      <c r="C383" s="776">
        <v>65</v>
      </c>
      <c r="D383" s="776">
        <v>11</v>
      </c>
      <c r="E383" s="776">
        <v>20.370370370370399</v>
      </c>
      <c r="F383" s="776">
        <v>0.61601407241501305</v>
      </c>
    </row>
    <row r="384" spans="1:6" x14ac:dyDescent="0.3">
      <c r="A384" s="777" t="s">
        <v>241</v>
      </c>
      <c r="B384" s="1795" t="s">
        <v>230</v>
      </c>
      <c r="C384" s="778">
        <v>2</v>
      </c>
      <c r="D384" s="778">
        <v>2</v>
      </c>
      <c r="E384" s="778" t="s">
        <v>38</v>
      </c>
      <c r="F384" s="778">
        <v>1.8954279151231199E-2</v>
      </c>
    </row>
    <row r="385" spans="1:6" x14ac:dyDescent="0.3">
      <c r="A385" s="779" t="s">
        <v>241</v>
      </c>
      <c r="B385" s="1795" t="s">
        <v>231</v>
      </c>
      <c r="C385" s="780">
        <v>63</v>
      </c>
      <c r="D385" s="780">
        <v>9</v>
      </c>
      <c r="E385" s="780">
        <v>16.6666666666667</v>
      </c>
      <c r="F385" s="780">
        <v>0.597059793263782</v>
      </c>
    </row>
    <row r="386" spans="1:6" x14ac:dyDescent="0.3">
      <c r="A386" s="781" t="s">
        <v>241</v>
      </c>
      <c r="B386" s="1795" t="s">
        <v>30</v>
      </c>
      <c r="C386" s="782">
        <v>53</v>
      </c>
      <c r="D386" s="782">
        <v>31</v>
      </c>
      <c r="E386" s="782">
        <v>140.90909090909099</v>
      </c>
      <c r="F386" s="782">
        <v>0.50228839750762599</v>
      </c>
    </row>
    <row r="387" spans="1:6" x14ac:dyDescent="0.3">
      <c r="A387" s="783" t="s">
        <v>241</v>
      </c>
      <c r="B387" s="1795" t="s">
        <v>233</v>
      </c>
      <c r="C387" s="784">
        <v>0</v>
      </c>
      <c r="D387" s="784">
        <v>-1</v>
      </c>
      <c r="E387" s="784">
        <v>-100</v>
      </c>
      <c r="F387" s="784">
        <v>0</v>
      </c>
    </row>
    <row r="388" spans="1:6" x14ac:dyDescent="0.3">
      <c r="A388" s="785" t="s">
        <v>241</v>
      </c>
      <c r="B388" s="1795" t="s">
        <v>234</v>
      </c>
      <c r="C388" s="786">
        <v>53</v>
      </c>
      <c r="D388" s="786">
        <v>32</v>
      </c>
      <c r="E388" s="786">
        <v>152.38095238095201</v>
      </c>
      <c r="F388" s="786">
        <v>0.50228839750762599</v>
      </c>
    </row>
    <row r="389" spans="1:6" x14ac:dyDescent="0.3">
      <c r="A389" s="787" t="s">
        <v>241</v>
      </c>
      <c r="B389" s="1795" t="s">
        <v>31</v>
      </c>
      <c r="C389" s="788">
        <v>10</v>
      </c>
      <c r="D389" s="788">
        <v>2</v>
      </c>
      <c r="E389" s="788">
        <v>25</v>
      </c>
      <c r="F389" s="788">
        <v>9.4771395756155896E-2</v>
      </c>
    </row>
    <row r="390" spans="1:6" x14ac:dyDescent="0.3">
      <c r="A390" s="789" t="s">
        <v>241</v>
      </c>
      <c r="B390" s="1795" t="s">
        <v>32</v>
      </c>
      <c r="C390" s="790">
        <v>3</v>
      </c>
      <c r="D390" s="790">
        <v>0</v>
      </c>
      <c r="E390" s="790">
        <v>0</v>
      </c>
      <c r="F390" s="790">
        <v>2.8431418726846801E-2</v>
      </c>
    </row>
    <row r="391" spans="1:6" x14ac:dyDescent="0.3">
      <c r="A391" s="791" t="s">
        <v>241</v>
      </c>
      <c r="B391" s="1795" t="s">
        <v>247</v>
      </c>
      <c r="C391" s="792">
        <v>0</v>
      </c>
      <c r="D391" s="792">
        <v>0</v>
      </c>
      <c r="E391" s="792" t="s">
        <v>38</v>
      </c>
      <c r="F391" s="792">
        <v>0</v>
      </c>
    </row>
    <row r="392" spans="1:6" x14ac:dyDescent="0.3">
      <c r="A392" s="793" t="s">
        <v>241</v>
      </c>
      <c r="B392" s="1795" t="s">
        <v>34</v>
      </c>
      <c r="C392" s="794">
        <v>6</v>
      </c>
      <c r="D392" s="794">
        <v>3</v>
      </c>
      <c r="E392" s="794">
        <v>100</v>
      </c>
      <c r="F392" s="794">
        <v>5.6862837453693499E-2</v>
      </c>
    </row>
    <row r="393" spans="1:6" x14ac:dyDescent="0.3">
      <c r="A393" s="795" t="s">
        <v>241</v>
      </c>
      <c r="B393" s="1795" t="s">
        <v>236</v>
      </c>
      <c r="C393" s="796">
        <v>0</v>
      </c>
      <c r="D393" s="796">
        <v>0</v>
      </c>
      <c r="E393" s="796" t="s">
        <v>38</v>
      </c>
      <c r="F393" s="796">
        <v>0</v>
      </c>
    </row>
    <row r="394" spans="1:6" x14ac:dyDescent="0.3">
      <c r="A394" s="797" t="s">
        <v>241</v>
      </c>
      <c r="B394" s="1795" t="s">
        <v>237</v>
      </c>
      <c r="C394" s="798">
        <v>6</v>
      </c>
      <c r="D394" s="798">
        <v>3</v>
      </c>
      <c r="E394" s="798">
        <v>100</v>
      </c>
      <c r="F394" s="798">
        <v>5.6862837453693499E-2</v>
      </c>
    </row>
    <row r="395" spans="1:6" x14ac:dyDescent="0.3">
      <c r="A395" s="799" t="s">
        <v>241</v>
      </c>
      <c r="B395" s="1795" t="s">
        <v>35</v>
      </c>
      <c r="C395" s="800">
        <v>1</v>
      </c>
      <c r="D395" s="800">
        <v>-1</v>
      </c>
      <c r="E395" s="800">
        <v>-50</v>
      </c>
      <c r="F395" s="800">
        <v>9.4771395756155907E-3</v>
      </c>
    </row>
    <row r="396" spans="1:6" x14ac:dyDescent="0.3">
      <c r="A396" s="801" t="s">
        <v>241</v>
      </c>
      <c r="B396" s="1795" t="s">
        <v>239</v>
      </c>
      <c r="C396" s="802">
        <v>0</v>
      </c>
      <c r="D396" s="802">
        <v>-1</v>
      </c>
      <c r="E396" s="802">
        <v>-100</v>
      </c>
      <c r="F396" s="802">
        <v>0</v>
      </c>
    </row>
    <row r="397" spans="1:6" x14ac:dyDescent="0.3">
      <c r="A397" s="803" t="s">
        <v>241</v>
      </c>
      <c r="B397" s="1795" t="s">
        <v>240</v>
      </c>
      <c r="C397" s="804">
        <v>1</v>
      </c>
      <c r="D397" s="804">
        <v>0</v>
      </c>
      <c r="E397" s="804">
        <v>0</v>
      </c>
      <c r="F397" s="804">
        <v>9.4771395756155907E-3</v>
      </c>
    </row>
    <row r="398" spans="1:6" x14ac:dyDescent="0.3">
      <c r="A398" s="805" t="s">
        <v>248</v>
      </c>
      <c r="B398" s="1795" t="s">
        <v>249</v>
      </c>
      <c r="C398" s="806">
        <v>351</v>
      </c>
      <c r="D398" s="806">
        <v>13</v>
      </c>
      <c r="E398" s="806">
        <v>3.8461538461538498</v>
      </c>
      <c r="F398" s="806">
        <v>3.3264759910410699</v>
      </c>
    </row>
    <row r="399" spans="1:6" x14ac:dyDescent="0.3">
      <c r="A399" s="807" t="s">
        <v>248</v>
      </c>
      <c r="B399" s="1795" t="s">
        <v>72</v>
      </c>
      <c r="C399" s="808">
        <v>77</v>
      </c>
      <c r="D399" s="808">
        <v>0</v>
      </c>
      <c r="E399" s="808">
        <v>0</v>
      </c>
      <c r="F399" s="808">
        <v>0.72973974732239999</v>
      </c>
    </row>
    <row r="400" spans="1:6" x14ac:dyDescent="0.3">
      <c r="A400" s="809" t="s">
        <v>248</v>
      </c>
      <c r="B400" s="1795" t="s">
        <v>79</v>
      </c>
      <c r="C400" s="810">
        <v>10</v>
      </c>
      <c r="D400" s="810">
        <v>1</v>
      </c>
      <c r="E400" s="810">
        <v>11.1111111111111</v>
      </c>
      <c r="F400" s="810">
        <v>9.4771395756155896E-2</v>
      </c>
    </row>
    <row r="401" spans="1:6" x14ac:dyDescent="0.3">
      <c r="A401" s="811" t="s">
        <v>248</v>
      </c>
      <c r="B401" s="1795" t="s">
        <v>26</v>
      </c>
      <c r="C401" s="812">
        <v>237</v>
      </c>
      <c r="D401" s="812">
        <v>22</v>
      </c>
      <c r="E401" s="812">
        <v>10.2325581395349</v>
      </c>
      <c r="F401" s="812">
        <v>2.2460820794208902</v>
      </c>
    </row>
    <row r="402" spans="1:6" x14ac:dyDescent="0.3">
      <c r="A402" s="813" t="s">
        <v>248</v>
      </c>
      <c r="B402" s="1795" t="s">
        <v>27</v>
      </c>
      <c r="C402" s="814">
        <v>69</v>
      </c>
      <c r="D402" s="814">
        <v>19</v>
      </c>
      <c r="E402" s="814">
        <v>38</v>
      </c>
      <c r="F402" s="814">
        <v>0.65392263071747503</v>
      </c>
    </row>
    <row r="403" spans="1:6" x14ac:dyDescent="0.3">
      <c r="A403" s="815" t="s">
        <v>248</v>
      </c>
      <c r="B403" s="1795" t="s">
        <v>28</v>
      </c>
      <c r="C403" s="816">
        <v>9</v>
      </c>
      <c r="D403" s="816">
        <v>-4</v>
      </c>
      <c r="E403" s="816">
        <v>-30.769230769230798</v>
      </c>
      <c r="F403" s="816">
        <v>8.5294256180540304E-2</v>
      </c>
    </row>
    <row r="404" spans="1:6" x14ac:dyDescent="0.3">
      <c r="A404" s="817" t="s">
        <v>248</v>
      </c>
      <c r="B404" s="1795" t="s">
        <v>29</v>
      </c>
      <c r="C404" s="818">
        <v>97</v>
      </c>
      <c r="D404" s="818">
        <v>5</v>
      </c>
      <c r="E404" s="818">
        <v>5.4347826086956497</v>
      </c>
      <c r="F404" s="818">
        <v>0.919282538834712</v>
      </c>
    </row>
    <row r="405" spans="1:6" x14ac:dyDescent="0.3">
      <c r="A405" s="819" t="s">
        <v>248</v>
      </c>
      <c r="B405" s="1795" t="s">
        <v>30</v>
      </c>
      <c r="C405" s="820">
        <v>62</v>
      </c>
      <c r="D405" s="820">
        <v>2</v>
      </c>
      <c r="E405" s="820">
        <v>3.3333333333333299</v>
      </c>
      <c r="F405" s="820">
        <v>0.58758265368816598</v>
      </c>
    </row>
    <row r="406" spans="1:6" x14ac:dyDescent="0.3">
      <c r="A406" s="821" t="s">
        <v>248</v>
      </c>
      <c r="B406" s="1795" t="s">
        <v>31</v>
      </c>
      <c r="C406" s="822">
        <v>27</v>
      </c>
      <c r="D406" s="822">
        <v>-10</v>
      </c>
      <c r="E406" s="822">
        <v>-27.027027027027</v>
      </c>
      <c r="F406" s="822">
        <v>0.25588276854162101</v>
      </c>
    </row>
    <row r="407" spans="1:6" x14ac:dyDescent="0.3">
      <c r="A407" s="823" t="s">
        <v>248</v>
      </c>
      <c r="B407" s="1795" t="s">
        <v>32</v>
      </c>
      <c r="C407" s="824">
        <v>3</v>
      </c>
      <c r="D407" s="824">
        <v>-1</v>
      </c>
      <c r="E407" s="824">
        <v>-25</v>
      </c>
      <c r="F407" s="824">
        <v>2.8431418726846801E-2</v>
      </c>
    </row>
    <row r="408" spans="1:6" x14ac:dyDescent="0.3">
      <c r="A408" s="825" t="s">
        <v>248</v>
      </c>
      <c r="B408" s="1795" t="s">
        <v>33</v>
      </c>
      <c r="C408" s="826">
        <v>1</v>
      </c>
      <c r="D408" s="826">
        <v>0</v>
      </c>
      <c r="E408" s="826">
        <v>0</v>
      </c>
      <c r="F408" s="826">
        <v>9.4771395756155907E-3</v>
      </c>
    </row>
    <row r="409" spans="1:6" x14ac:dyDescent="0.3">
      <c r="A409" s="827" t="s">
        <v>248</v>
      </c>
      <c r="B409" s="1795" t="s">
        <v>34</v>
      </c>
      <c r="C409" s="828">
        <v>11</v>
      </c>
      <c r="D409" s="828">
        <v>-5</v>
      </c>
      <c r="E409" s="828">
        <v>-31.25</v>
      </c>
      <c r="F409" s="828">
        <v>0.104248535331771</v>
      </c>
    </row>
    <row r="410" spans="1:6" x14ac:dyDescent="0.3">
      <c r="A410" s="829" t="s">
        <v>248</v>
      </c>
      <c r="B410" s="1795" t="s">
        <v>35</v>
      </c>
      <c r="C410" s="830">
        <v>12</v>
      </c>
      <c r="D410" s="830">
        <v>-4</v>
      </c>
      <c r="E410" s="830">
        <v>-25</v>
      </c>
      <c r="F410" s="830">
        <v>0.113725674907387</v>
      </c>
    </row>
    <row r="411" spans="1:6" x14ac:dyDescent="0.3">
      <c r="A411" s="831" t="s">
        <v>250</v>
      </c>
      <c r="B411" s="1795" t="s">
        <v>251</v>
      </c>
      <c r="C411" s="832">
        <v>12</v>
      </c>
      <c r="D411" s="832">
        <v>-1</v>
      </c>
      <c r="E411" s="832">
        <v>-7.6923076923076898</v>
      </c>
      <c r="F411" s="832">
        <v>0.113725674907387</v>
      </c>
    </row>
    <row r="412" spans="1:6" x14ac:dyDescent="0.3">
      <c r="A412" s="833" t="s">
        <v>250</v>
      </c>
      <c r="B412" s="1795" t="s">
        <v>72</v>
      </c>
      <c r="C412" s="834">
        <v>3</v>
      </c>
      <c r="D412" s="834">
        <v>3</v>
      </c>
      <c r="E412" s="834" t="s">
        <v>38</v>
      </c>
      <c r="F412" s="834">
        <v>2.8431418726846801E-2</v>
      </c>
    </row>
    <row r="413" spans="1:6" x14ac:dyDescent="0.3">
      <c r="A413" s="835" t="s">
        <v>250</v>
      </c>
      <c r="B413" s="1795" t="s">
        <v>79</v>
      </c>
      <c r="C413" s="836">
        <v>0</v>
      </c>
      <c r="D413" s="836">
        <v>-1</v>
      </c>
      <c r="E413" s="836">
        <v>-100</v>
      </c>
      <c r="F413" s="836">
        <v>0</v>
      </c>
    </row>
    <row r="414" spans="1:6" x14ac:dyDescent="0.3">
      <c r="A414" s="837" t="s">
        <v>250</v>
      </c>
      <c r="B414" s="1795" t="s">
        <v>26</v>
      </c>
      <c r="C414" s="838">
        <v>6</v>
      </c>
      <c r="D414" s="838">
        <v>-4</v>
      </c>
      <c r="E414" s="838">
        <v>-40</v>
      </c>
      <c r="F414" s="838">
        <v>5.6862837453693499E-2</v>
      </c>
    </row>
    <row r="415" spans="1:6" x14ac:dyDescent="0.3">
      <c r="A415" s="839" t="s">
        <v>250</v>
      </c>
      <c r="B415" s="1795" t="s">
        <v>252</v>
      </c>
      <c r="C415" s="840">
        <v>2</v>
      </c>
      <c r="D415" s="840">
        <v>0</v>
      </c>
      <c r="E415" s="840">
        <v>0</v>
      </c>
      <c r="F415" s="840">
        <v>1.8954279151231199E-2</v>
      </c>
    </row>
    <row r="416" spans="1:6" x14ac:dyDescent="0.3">
      <c r="A416" s="841" t="s">
        <v>250</v>
      </c>
      <c r="B416" s="1795" t="s">
        <v>28</v>
      </c>
      <c r="C416" s="842">
        <v>1</v>
      </c>
      <c r="D416" s="842">
        <v>1</v>
      </c>
      <c r="E416" s="842" t="s">
        <v>38</v>
      </c>
      <c r="F416" s="842">
        <v>9.4771395756155907E-3</v>
      </c>
    </row>
    <row r="417" spans="1:6" x14ac:dyDescent="0.3">
      <c r="A417" s="843" t="s">
        <v>250</v>
      </c>
      <c r="B417" s="1795" t="s">
        <v>29</v>
      </c>
      <c r="C417" s="844">
        <v>1</v>
      </c>
      <c r="D417" s="844">
        <v>-4</v>
      </c>
      <c r="E417" s="844">
        <v>-80</v>
      </c>
      <c r="F417" s="844">
        <v>9.4771395756155907E-3</v>
      </c>
    </row>
    <row r="418" spans="1:6" x14ac:dyDescent="0.3">
      <c r="A418" s="845" t="s">
        <v>250</v>
      </c>
      <c r="B418" s="1795" t="s">
        <v>30</v>
      </c>
      <c r="C418" s="846">
        <v>2</v>
      </c>
      <c r="D418" s="846">
        <v>-1</v>
      </c>
      <c r="E418" s="846">
        <v>-33.3333333333333</v>
      </c>
      <c r="F418" s="846">
        <v>1.8954279151231199E-2</v>
      </c>
    </row>
    <row r="419" spans="1:6" x14ac:dyDescent="0.3">
      <c r="A419" s="847" t="s">
        <v>250</v>
      </c>
      <c r="B419" s="1795" t="s">
        <v>31</v>
      </c>
      <c r="C419" s="848">
        <v>3</v>
      </c>
      <c r="D419" s="848">
        <v>1</v>
      </c>
      <c r="E419" s="848">
        <v>50</v>
      </c>
      <c r="F419" s="848">
        <v>2.8431418726846801E-2</v>
      </c>
    </row>
    <row r="420" spans="1:6" x14ac:dyDescent="0.3">
      <c r="A420" s="849" t="s">
        <v>250</v>
      </c>
      <c r="B420" s="1795" t="s">
        <v>32</v>
      </c>
      <c r="C420" s="850">
        <v>0</v>
      </c>
      <c r="D420" s="850">
        <v>-1</v>
      </c>
      <c r="E420" s="850">
        <v>-100</v>
      </c>
      <c r="F420" s="850">
        <v>0</v>
      </c>
    </row>
    <row r="421" spans="1:6" x14ac:dyDescent="0.3">
      <c r="A421" s="851" t="s">
        <v>250</v>
      </c>
      <c r="B421" s="1795" t="s">
        <v>33</v>
      </c>
      <c r="C421" s="852">
        <v>0</v>
      </c>
      <c r="D421" s="852">
        <v>0</v>
      </c>
      <c r="E421" s="852" t="s">
        <v>38</v>
      </c>
      <c r="F421" s="852">
        <v>0</v>
      </c>
    </row>
    <row r="422" spans="1:6" x14ac:dyDescent="0.3">
      <c r="A422" s="853" t="s">
        <v>250</v>
      </c>
      <c r="B422" s="1795" t="s">
        <v>34</v>
      </c>
      <c r="C422" s="854">
        <v>2</v>
      </c>
      <c r="D422" s="854">
        <v>1</v>
      </c>
      <c r="E422" s="854">
        <v>100</v>
      </c>
      <c r="F422" s="854">
        <v>1.8954279151231199E-2</v>
      </c>
    </row>
    <row r="423" spans="1:6" x14ac:dyDescent="0.3">
      <c r="A423" s="855" t="s">
        <v>250</v>
      </c>
      <c r="B423" s="1795" t="s">
        <v>35</v>
      </c>
      <c r="C423" s="856">
        <v>1</v>
      </c>
      <c r="D423" s="856">
        <v>1</v>
      </c>
      <c r="E423" s="856" t="s">
        <v>38</v>
      </c>
      <c r="F423" s="856">
        <v>9.4771395756155907E-3</v>
      </c>
    </row>
    <row r="424" spans="1:6" x14ac:dyDescent="0.3">
      <c r="A424" s="857" t="s">
        <v>253</v>
      </c>
      <c r="B424" s="1795" t="s">
        <v>254</v>
      </c>
      <c r="C424" s="858">
        <v>124</v>
      </c>
      <c r="D424" s="858">
        <v>15</v>
      </c>
      <c r="E424" s="858">
        <v>13.7614678899083</v>
      </c>
      <c r="F424" s="858">
        <v>1.17516530737633</v>
      </c>
    </row>
    <row r="425" spans="1:6" x14ac:dyDescent="0.3">
      <c r="A425" s="859" t="s">
        <v>253</v>
      </c>
      <c r="B425" s="1795" t="s">
        <v>255</v>
      </c>
      <c r="C425" s="860">
        <v>89</v>
      </c>
      <c r="D425" s="860">
        <v>14</v>
      </c>
      <c r="E425" s="860">
        <v>18.6666666666667</v>
      </c>
      <c r="F425" s="860">
        <v>0.84346542222978704</v>
      </c>
    </row>
    <row r="426" spans="1:6" x14ac:dyDescent="0.3">
      <c r="A426" s="861" t="s">
        <v>253</v>
      </c>
      <c r="B426" s="1795" t="s">
        <v>256</v>
      </c>
      <c r="C426" s="862">
        <v>21</v>
      </c>
      <c r="D426" s="862">
        <v>-1</v>
      </c>
      <c r="E426" s="862">
        <v>-4.5454545454545503</v>
      </c>
      <c r="F426" s="862">
        <v>0.19901993108792701</v>
      </c>
    </row>
    <row r="427" spans="1:6" x14ac:dyDescent="0.3">
      <c r="A427" s="863" t="s">
        <v>253</v>
      </c>
      <c r="B427" s="1795" t="s">
        <v>257</v>
      </c>
      <c r="C427" s="864">
        <v>8</v>
      </c>
      <c r="D427" s="864">
        <v>-3</v>
      </c>
      <c r="E427" s="864">
        <v>-27.272727272727298</v>
      </c>
      <c r="F427" s="864">
        <v>7.5817116604924698E-2</v>
      </c>
    </row>
    <row r="428" spans="1:6" x14ac:dyDescent="0.3">
      <c r="A428" s="865" t="s">
        <v>253</v>
      </c>
      <c r="B428" s="1795" t="s">
        <v>258</v>
      </c>
      <c r="C428" s="866">
        <v>6</v>
      </c>
      <c r="D428" s="866">
        <v>5</v>
      </c>
      <c r="E428" s="866">
        <v>500</v>
      </c>
      <c r="F428" s="866">
        <v>5.6862837453693499E-2</v>
      </c>
    </row>
    <row r="429" spans="1:6" x14ac:dyDescent="0.3">
      <c r="A429" s="867" t="s">
        <v>259</v>
      </c>
      <c r="B429" s="1795" t="s">
        <v>260</v>
      </c>
      <c r="C429" s="868">
        <v>869</v>
      </c>
      <c r="D429" s="868">
        <v>55</v>
      </c>
      <c r="E429" s="868">
        <v>6.7567567567567597</v>
      </c>
      <c r="F429" s="868">
        <v>8.2356342912099407</v>
      </c>
    </row>
    <row r="430" spans="1:6" x14ac:dyDescent="0.3">
      <c r="A430" s="869" t="s">
        <v>259</v>
      </c>
      <c r="B430" s="1795" t="s">
        <v>261</v>
      </c>
      <c r="C430" s="870">
        <v>672</v>
      </c>
      <c r="D430" s="870">
        <v>77</v>
      </c>
      <c r="E430" s="870">
        <v>12.9411764705882</v>
      </c>
      <c r="F430" s="870">
        <v>6.3686377948136697</v>
      </c>
    </row>
    <row r="431" spans="1:6" x14ac:dyDescent="0.3">
      <c r="A431" s="871" t="s">
        <v>259</v>
      </c>
      <c r="B431" s="1795" t="s">
        <v>262</v>
      </c>
      <c r="C431" s="872">
        <v>168</v>
      </c>
      <c r="D431" s="872">
        <v>-28</v>
      </c>
      <c r="E431" s="872">
        <v>-14.285714285714301</v>
      </c>
      <c r="F431" s="872">
        <v>1.5921594487034201</v>
      </c>
    </row>
    <row r="432" spans="1:6" x14ac:dyDescent="0.3">
      <c r="A432" s="873" t="s">
        <v>259</v>
      </c>
      <c r="B432" s="1795" t="s">
        <v>72</v>
      </c>
      <c r="C432" s="874">
        <v>17</v>
      </c>
      <c r="D432" s="874">
        <v>-3</v>
      </c>
      <c r="E432" s="874">
        <v>-15</v>
      </c>
      <c r="F432" s="874">
        <v>0.161111372785465</v>
      </c>
    </row>
    <row r="433" spans="1:6" x14ac:dyDescent="0.3">
      <c r="A433" s="875" t="s">
        <v>259</v>
      </c>
      <c r="B433" s="1795" t="s">
        <v>79</v>
      </c>
      <c r="C433" s="876">
        <v>12</v>
      </c>
      <c r="D433" s="876">
        <v>9</v>
      </c>
      <c r="E433" s="876">
        <v>300</v>
      </c>
      <c r="F433" s="876">
        <v>0.113725674907387</v>
      </c>
    </row>
    <row r="434" spans="1:6" x14ac:dyDescent="0.3">
      <c r="A434" s="877" t="s">
        <v>263</v>
      </c>
      <c r="B434" s="1795" t="s">
        <v>264</v>
      </c>
      <c r="C434" s="878">
        <v>5</v>
      </c>
      <c r="D434" s="878">
        <v>1</v>
      </c>
      <c r="E434" s="878">
        <v>25</v>
      </c>
      <c r="F434" s="878">
        <v>4.73856978780779E-2</v>
      </c>
    </row>
    <row r="435" spans="1:6" x14ac:dyDescent="0.3">
      <c r="A435" s="879" t="s">
        <v>263</v>
      </c>
      <c r="B435" s="1795" t="s">
        <v>265</v>
      </c>
      <c r="C435" s="880">
        <v>1</v>
      </c>
      <c r="D435" s="880">
        <v>0</v>
      </c>
      <c r="E435" s="880">
        <v>0</v>
      </c>
      <c r="F435" s="880">
        <v>9.4771395756155907E-3</v>
      </c>
    </row>
    <row r="436" spans="1:6" x14ac:dyDescent="0.3">
      <c r="A436" s="881" t="s">
        <v>263</v>
      </c>
      <c r="B436" s="1795" t="s">
        <v>266</v>
      </c>
      <c r="C436" s="882">
        <v>0</v>
      </c>
      <c r="D436" s="882">
        <v>0</v>
      </c>
      <c r="E436" s="882" t="s">
        <v>38</v>
      </c>
      <c r="F436" s="882">
        <v>0</v>
      </c>
    </row>
    <row r="437" spans="1:6" x14ac:dyDescent="0.3">
      <c r="A437" s="883" t="s">
        <v>263</v>
      </c>
      <c r="B437" s="1795" t="s">
        <v>267</v>
      </c>
      <c r="C437" s="884">
        <v>3</v>
      </c>
      <c r="D437" s="884">
        <v>1</v>
      </c>
      <c r="E437" s="884">
        <v>50</v>
      </c>
      <c r="F437" s="884">
        <v>2.8431418726846801E-2</v>
      </c>
    </row>
    <row r="438" spans="1:6" x14ac:dyDescent="0.3">
      <c r="A438" s="885" t="s">
        <v>263</v>
      </c>
      <c r="B438" s="1795" t="s">
        <v>268</v>
      </c>
      <c r="C438" s="886">
        <v>1</v>
      </c>
      <c r="D438" s="886">
        <v>0</v>
      </c>
      <c r="E438" s="886">
        <v>0</v>
      </c>
      <c r="F438" s="886">
        <v>9.4771395756155907E-3</v>
      </c>
    </row>
    <row r="439" spans="1:6" x14ac:dyDescent="0.3">
      <c r="A439" s="887" t="s">
        <v>269</v>
      </c>
      <c r="B439" s="1795" t="s">
        <v>270</v>
      </c>
      <c r="C439" s="888">
        <v>1775</v>
      </c>
      <c r="D439" s="888">
        <v>5</v>
      </c>
      <c r="E439" s="888">
        <v>0.28248587570621497</v>
      </c>
      <c r="F439" s="888">
        <v>16.8219227467177</v>
      </c>
    </row>
    <row r="440" spans="1:6" x14ac:dyDescent="0.3">
      <c r="A440" s="889" t="s">
        <v>271</v>
      </c>
      <c r="B440" s="1795" t="s">
        <v>272</v>
      </c>
      <c r="C440" s="890">
        <v>121</v>
      </c>
      <c r="D440" s="890">
        <v>20</v>
      </c>
      <c r="E440" s="890">
        <v>19.801980198019798</v>
      </c>
      <c r="F440" s="890">
        <v>1.14673388864949</v>
      </c>
    </row>
    <row r="441" spans="1:6" x14ac:dyDescent="0.3">
      <c r="A441" s="891" t="s">
        <v>273</v>
      </c>
      <c r="B441" s="1795" t="s">
        <v>274</v>
      </c>
      <c r="C441" s="892">
        <v>9984</v>
      </c>
      <c r="D441" s="892">
        <v>531</v>
      </c>
      <c r="E441" s="892">
        <v>5.61726436052047</v>
      </c>
      <c r="F441" s="892">
        <v>94.619761522946007</v>
      </c>
    </row>
    <row r="442" spans="1:6" x14ac:dyDescent="0.3">
      <c r="A442" s="893" t="s">
        <v>273</v>
      </c>
      <c r="B442" s="1795" t="s">
        <v>275</v>
      </c>
      <c r="C442" s="894">
        <v>3129</v>
      </c>
      <c r="D442" s="894">
        <v>218</v>
      </c>
      <c r="E442" s="894">
        <v>7.4888354517347997</v>
      </c>
      <c r="F442" s="894">
        <v>29.653969732101199</v>
      </c>
    </row>
    <row r="443" spans="1:6" x14ac:dyDescent="0.3">
      <c r="A443" s="895" t="s">
        <v>273</v>
      </c>
      <c r="B443" s="1795" t="s">
        <v>276</v>
      </c>
      <c r="C443" s="896">
        <v>2591</v>
      </c>
      <c r="D443" s="896">
        <v>147</v>
      </c>
      <c r="E443" s="896">
        <v>6.0147299509001604</v>
      </c>
      <c r="F443" s="896">
        <v>24.55526864042</v>
      </c>
    </row>
    <row r="444" spans="1:6" x14ac:dyDescent="0.3">
      <c r="A444" s="897" t="s">
        <v>273</v>
      </c>
      <c r="B444" s="1795" t="s">
        <v>277</v>
      </c>
      <c r="C444" s="898">
        <v>538</v>
      </c>
      <c r="D444" s="898">
        <v>71</v>
      </c>
      <c r="E444" s="898">
        <v>15.203426124197</v>
      </c>
      <c r="F444" s="898">
        <v>5.0987010916811801</v>
      </c>
    </row>
    <row r="445" spans="1:6" x14ac:dyDescent="0.3">
      <c r="A445" s="899" t="s">
        <v>273</v>
      </c>
      <c r="B445" s="1795" t="s">
        <v>278</v>
      </c>
      <c r="C445" s="900">
        <v>1334</v>
      </c>
      <c r="D445" s="900">
        <v>135</v>
      </c>
      <c r="E445" s="900">
        <v>11.2593828190158</v>
      </c>
      <c r="F445" s="900">
        <v>12.642504193871201</v>
      </c>
    </row>
    <row r="446" spans="1:6" x14ac:dyDescent="0.3">
      <c r="A446" s="901" t="s">
        <v>273</v>
      </c>
      <c r="B446" s="1795" t="s">
        <v>279</v>
      </c>
      <c r="C446" s="902">
        <v>1168</v>
      </c>
      <c r="D446" s="902">
        <v>88</v>
      </c>
      <c r="E446" s="902">
        <v>8.1481481481481506</v>
      </c>
      <c r="F446" s="902">
        <v>11.069299024318999</v>
      </c>
    </row>
    <row r="447" spans="1:6" x14ac:dyDescent="0.3">
      <c r="A447" s="903" t="s">
        <v>273</v>
      </c>
      <c r="B447" s="1795" t="s">
        <v>280</v>
      </c>
      <c r="C447" s="904">
        <v>166</v>
      </c>
      <c r="D447" s="904">
        <v>47</v>
      </c>
      <c r="E447" s="904">
        <v>39.495798319327697</v>
      </c>
      <c r="F447" s="904">
        <v>1.57320516955219</v>
      </c>
    </row>
    <row r="448" spans="1:6" x14ac:dyDescent="0.3">
      <c r="A448" s="905" t="s">
        <v>273</v>
      </c>
      <c r="B448" s="1795" t="s">
        <v>281</v>
      </c>
      <c r="C448" s="906">
        <v>5521</v>
      </c>
      <c r="D448" s="906">
        <v>352</v>
      </c>
      <c r="E448" s="906">
        <v>6.8098278196943296</v>
      </c>
      <c r="F448" s="906">
        <v>52.3232875969736</v>
      </c>
    </row>
    <row r="449" spans="1:6" x14ac:dyDescent="0.3">
      <c r="A449" s="907" t="s">
        <v>273</v>
      </c>
      <c r="B449" s="1795" t="s">
        <v>282</v>
      </c>
      <c r="C449" s="908">
        <v>4935</v>
      </c>
      <c r="D449" s="908">
        <v>322</v>
      </c>
      <c r="E449" s="908">
        <v>6.9802731411229102</v>
      </c>
      <c r="F449" s="908">
        <v>46.769683805662901</v>
      </c>
    </row>
    <row r="450" spans="1:6" x14ac:dyDescent="0.3">
      <c r="A450" s="909" t="s">
        <v>273</v>
      </c>
      <c r="B450" s="1795" t="s">
        <v>283</v>
      </c>
      <c r="C450" s="910">
        <v>357</v>
      </c>
      <c r="D450" s="910">
        <v>56</v>
      </c>
      <c r="E450" s="910">
        <v>18.604651162790699</v>
      </c>
      <c r="F450" s="910">
        <v>3.3833388284947601</v>
      </c>
    </row>
    <row r="451" spans="1:6" x14ac:dyDescent="0.3">
      <c r="A451" s="911" t="s">
        <v>273</v>
      </c>
      <c r="B451" s="1795" t="s">
        <v>910</v>
      </c>
      <c r="C451" s="912">
        <v>121</v>
      </c>
      <c r="D451" s="912">
        <v>41</v>
      </c>
      <c r="E451" s="912">
        <v>51.25</v>
      </c>
      <c r="F451" s="912">
        <v>1.14673388864949</v>
      </c>
    </row>
    <row r="452" spans="1:6" x14ac:dyDescent="0.3">
      <c r="A452" s="913" t="s">
        <v>273</v>
      </c>
      <c r="B452" s="1795" t="s">
        <v>911</v>
      </c>
      <c r="C452" s="914">
        <v>1412</v>
      </c>
      <c r="D452" s="914">
        <v>123</v>
      </c>
      <c r="E452" s="914">
        <v>9.5422808378588009</v>
      </c>
      <c r="F452" s="914">
        <v>13.3817210807692</v>
      </c>
    </row>
    <row r="453" spans="1:6" x14ac:dyDescent="0.3">
      <c r="A453" s="915" t="s">
        <v>273</v>
      </c>
      <c r="B453" s="1795" t="s">
        <v>284</v>
      </c>
      <c r="C453" s="916">
        <v>3045</v>
      </c>
      <c r="D453" s="916">
        <v>102</v>
      </c>
      <c r="E453" s="916">
        <v>3.4658511722731902</v>
      </c>
      <c r="F453" s="916">
        <v>28.8578900077495</v>
      </c>
    </row>
    <row r="454" spans="1:6" x14ac:dyDescent="0.3">
      <c r="A454" s="917" t="s">
        <v>273</v>
      </c>
      <c r="B454" s="1795" t="s">
        <v>285</v>
      </c>
      <c r="C454" s="918">
        <v>586</v>
      </c>
      <c r="D454" s="918">
        <v>30</v>
      </c>
      <c r="E454" s="918">
        <v>5.3956834532374103</v>
      </c>
      <c r="F454" s="918">
        <v>5.5536037913107297</v>
      </c>
    </row>
    <row r="455" spans="1:6" x14ac:dyDescent="0.3">
      <c r="A455" s="919" t="s">
        <v>273</v>
      </c>
      <c r="B455" s="1795" t="s">
        <v>286</v>
      </c>
      <c r="C455" s="920">
        <v>19</v>
      </c>
      <c r="D455" s="920">
        <v>-2</v>
      </c>
      <c r="E455" s="920">
        <v>-9.5238095238095202</v>
      </c>
      <c r="F455" s="920">
        <v>0.18006565193669599</v>
      </c>
    </row>
    <row r="456" spans="1:6" x14ac:dyDescent="0.3">
      <c r="A456" s="921" t="s">
        <v>273</v>
      </c>
      <c r="B456" s="1795" t="s">
        <v>287</v>
      </c>
      <c r="C456" s="922">
        <v>11</v>
      </c>
      <c r="D456" s="922">
        <v>-5</v>
      </c>
      <c r="E456" s="922">
        <v>-31.25</v>
      </c>
      <c r="F456" s="922">
        <v>0.104248535331771</v>
      </c>
    </row>
    <row r="457" spans="1:6" x14ac:dyDescent="0.3">
      <c r="A457" s="923" t="s">
        <v>273</v>
      </c>
      <c r="B457" s="1795" t="s">
        <v>912</v>
      </c>
      <c r="C457" s="924">
        <v>183</v>
      </c>
      <c r="D457" s="924">
        <v>29</v>
      </c>
      <c r="E457" s="924">
        <v>18.831168831168799</v>
      </c>
      <c r="F457" s="924">
        <v>1.7343165423376501</v>
      </c>
    </row>
    <row r="458" spans="1:6" x14ac:dyDescent="0.3">
      <c r="A458" s="925" t="s">
        <v>273</v>
      </c>
      <c r="B458" s="1795" t="s">
        <v>288</v>
      </c>
      <c r="C458" s="926">
        <v>373</v>
      </c>
      <c r="D458" s="926">
        <v>8</v>
      </c>
      <c r="E458" s="926">
        <v>2.1917808219178099</v>
      </c>
      <c r="F458" s="926">
        <v>3.5349730617046098</v>
      </c>
    </row>
    <row r="459" spans="1:6" x14ac:dyDescent="0.3">
      <c r="A459" s="927" t="s">
        <v>289</v>
      </c>
      <c r="B459" s="1795" t="s">
        <v>290</v>
      </c>
      <c r="C459" s="928">
        <v>224</v>
      </c>
      <c r="D459" s="928">
        <v>5</v>
      </c>
      <c r="E459" s="928">
        <v>2.2831050228310499</v>
      </c>
      <c r="F459" s="928">
        <v>2.12287926493789</v>
      </c>
    </row>
    <row r="460" spans="1:6" x14ac:dyDescent="0.3">
      <c r="A460" s="929" t="s">
        <v>289</v>
      </c>
      <c r="B460" s="1795" t="s">
        <v>291</v>
      </c>
      <c r="C460" s="930">
        <v>175</v>
      </c>
      <c r="D460" s="930">
        <v>-10</v>
      </c>
      <c r="E460" s="930">
        <v>-5.4054054054054097</v>
      </c>
      <c r="F460" s="930">
        <v>1.6584994257327299</v>
      </c>
    </row>
    <row r="461" spans="1:6" x14ac:dyDescent="0.3">
      <c r="A461" s="931" t="s">
        <v>289</v>
      </c>
      <c r="B461" s="1795" t="s">
        <v>292</v>
      </c>
      <c r="C461" s="932">
        <v>49</v>
      </c>
      <c r="D461" s="932">
        <v>15</v>
      </c>
      <c r="E461" s="932">
        <v>44.117647058823501</v>
      </c>
      <c r="F461" s="932">
        <v>0.46437983920516401</v>
      </c>
    </row>
    <row r="462" spans="1:6" x14ac:dyDescent="0.3">
      <c r="A462" s="933" t="s">
        <v>293</v>
      </c>
      <c r="B462" s="1795" t="s">
        <v>294</v>
      </c>
      <c r="C462" s="934">
        <v>1762</v>
      </c>
      <c r="D462" s="934">
        <v>285</v>
      </c>
      <c r="E462" s="934">
        <v>19.2958700067705</v>
      </c>
      <c r="F462" s="934">
        <v>16.698719932234699</v>
      </c>
    </row>
    <row r="463" spans="1:6" x14ac:dyDescent="0.3">
      <c r="A463" s="935" t="s">
        <v>295</v>
      </c>
      <c r="B463" s="1795" t="s">
        <v>296</v>
      </c>
      <c r="C463" s="936">
        <v>203</v>
      </c>
      <c r="D463" s="936">
        <v>1</v>
      </c>
      <c r="E463" s="936">
        <v>0.49504950495049499</v>
      </c>
      <c r="F463" s="936">
        <v>1.9238593338499601</v>
      </c>
    </row>
    <row r="464" spans="1:6" x14ac:dyDescent="0.3">
      <c r="A464" s="937" t="s">
        <v>297</v>
      </c>
      <c r="B464" s="19" t="s">
        <v>298</v>
      </c>
      <c r="C464" s="938">
        <v>1354</v>
      </c>
      <c r="D464" s="938">
        <v>-99</v>
      </c>
      <c r="E464" s="938">
        <v>-6.8134893324156902</v>
      </c>
      <c r="F464" s="938">
        <v>12.832046985383499</v>
      </c>
    </row>
    <row r="465" spans="1:6" x14ac:dyDescent="0.3">
      <c r="A465" s="939" t="s">
        <v>299</v>
      </c>
      <c r="B465" s="1795" t="s">
        <v>300</v>
      </c>
      <c r="C465" s="940">
        <v>1339</v>
      </c>
      <c r="D465" s="940">
        <v>-102</v>
      </c>
      <c r="E465" s="940">
        <v>-7.0784177654406699</v>
      </c>
      <c r="F465" s="940">
        <v>12.689889891749299</v>
      </c>
    </row>
    <row r="466" spans="1:6" x14ac:dyDescent="0.3">
      <c r="A466" s="941" t="s">
        <v>301</v>
      </c>
      <c r="B466" s="1795" t="s">
        <v>302</v>
      </c>
      <c r="C466" s="942">
        <v>15</v>
      </c>
      <c r="D466" s="942">
        <v>3</v>
      </c>
      <c r="E466" s="942">
        <v>25</v>
      </c>
      <c r="F466" s="942">
        <v>0.14215709363423401</v>
      </c>
    </row>
    <row r="467" spans="1:6" x14ac:dyDescent="0.3">
      <c r="A467" s="943" t="s">
        <v>303</v>
      </c>
      <c r="B467" s="1794" t="s">
        <v>304</v>
      </c>
      <c r="C467" s="944">
        <v>812154</v>
      </c>
      <c r="D467" s="944">
        <v>-54665</v>
      </c>
      <c r="E467" s="944">
        <v>-6.3063915304117701</v>
      </c>
      <c r="F467" s="944">
        <v>7696.8968148944996</v>
      </c>
    </row>
    <row r="468" spans="1:6" x14ac:dyDescent="0.3">
      <c r="A468" s="945" t="s">
        <v>305</v>
      </c>
      <c r="B468" s="19" t="s">
        <v>306</v>
      </c>
      <c r="C468" s="946">
        <v>348289</v>
      </c>
      <c r="D468" s="946">
        <v>-32432</v>
      </c>
      <c r="E468" s="946">
        <v>-8.5185739688643398</v>
      </c>
      <c r="F468" s="946">
        <v>3300.7834656515802</v>
      </c>
    </row>
    <row r="469" spans="1:6" x14ac:dyDescent="0.3">
      <c r="A469" s="947" t="s">
        <v>307</v>
      </c>
      <c r="B469" s="1795" t="s">
        <v>308</v>
      </c>
      <c r="C469" s="948">
        <v>13275</v>
      </c>
      <c r="D469" s="948">
        <v>-2698</v>
      </c>
      <c r="E469" s="948">
        <v>-16.891003568521899</v>
      </c>
      <c r="F469" s="948">
        <v>125.809027866297</v>
      </c>
    </row>
    <row r="470" spans="1:6" x14ac:dyDescent="0.3">
      <c r="A470" s="949" t="s">
        <v>307</v>
      </c>
      <c r="B470" s="1795" t="s">
        <v>309</v>
      </c>
      <c r="C470" s="950">
        <v>6561</v>
      </c>
      <c r="D470" s="950">
        <v>-1321</v>
      </c>
      <c r="E470" s="950">
        <v>-16.759705658462298</v>
      </c>
      <c r="F470" s="950">
        <v>62.179512755613899</v>
      </c>
    </row>
    <row r="471" spans="1:6" x14ac:dyDescent="0.3">
      <c r="A471" s="951" t="s">
        <v>310</v>
      </c>
      <c r="B471" s="1795" t="s">
        <v>309</v>
      </c>
      <c r="C471" s="952">
        <v>792</v>
      </c>
      <c r="D471" s="952">
        <v>-171</v>
      </c>
      <c r="E471" s="952">
        <v>-17.757009345794401</v>
      </c>
      <c r="F471" s="952">
        <v>7.50589454388754</v>
      </c>
    </row>
    <row r="472" spans="1:6" x14ac:dyDescent="0.3">
      <c r="A472" s="953" t="s">
        <v>311</v>
      </c>
      <c r="B472" s="1795" t="s">
        <v>312</v>
      </c>
      <c r="C472" s="954">
        <v>5769</v>
      </c>
      <c r="D472" s="954">
        <v>-1150</v>
      </c>
      <c r="E472" s="954">
        <v>-16.620898973840202</v>
      </c>
      <c r="F472" s="954">
        <v>54.6736182117263</v>
      </c>
    </row>
    <row r="473" spans="1:6" ht="21.6" x14ac:dyDescent="0.3">
      <c r="A473" s="955" t="s">
        <v>311</v>
      </c>
      <c r="B473" s="1795" t="s">
        <v>913</v>
      </c>
      <c r="C473" s="956">
        <v>785</v>
      </c>
      <c r="D473" s="956">
        <v>-194</v>
      </c>
      <c r="E473" s="956">
        <v>-19.816138917262499</v>
      </c>
      <c r="F473" s="956">
        <v>7.4395545668582299</v>
      </c>
    </row>
    <row r="474" spans="1:6" x14ac:dyDescent="0.3">
      <c r="A474" s="957" t="s">
        <v>311</v>
      </c>
      <c r="B474" s="1795" t="s">
        <v>313</v>
      </c>
      <c r="C474" s="958">
        <v>4984</v>
      </c>
      <c r="D474" s="958">
        <v>-956</v>
      </c>
      <c r="E474" s="958">
        <v>-16.094276094276101</v>
      </c>
      <c r="F474" s="958">
        <v>47.234063644868101</v>
      </c>
    </row>
    <row r="475" spans="1:6" x14ac:dyDescent="0.3">
      <c r="A475" s="959" t="s">
        <v>307</v>
      </c>
      <c r="B475" s="1795" t="s">
        <v>314</v>
      </c>
      <c r="C475" s="960">
        <v>1374</v>
      </c>
      <c r="D475" s="960">
        <v>-270</v>
      </c>
      <c r="E475" s="960">
        <v>-16.423357664233599</v>
      </c>
      <c r="F475" s="960">
        <v>13.0215897768958</v>
      </c>
    </row>
    <row r="476" spans="1:6" x14ac:dyDescent="0.3">
      <c r="A476" s="961" t="s">
        <v>307</v>
      </c>
      <c r="B476" s="1795" t="s">
        <v>315</v>
      </c>
      <c r="C476" s="962">
        <v>2843</v>
      </c>
      <c r="D476" s="962">
        <v>-817</v>
      </c>
      <c r="E476" s="962">
        <v>-22.3224043715847</v>
      </c>
      <c r="F476" s="962">
        <v>26.943507813475101</v>
      </c>
    </row>
    <row r="477" spans="1:6" x14ac:dyDescent="0.3">
      <c r="A477" s="963" t="s">
        <v>307</v>
      </c>
      <c r="B477" s="1795" t="s">
        <v>316</v>
      </c>
      <c r="C477" s="964">
        <v>725</v>
      </c>
      <c r="D477" s="964">
        <v>42</v>
      </c>
      <c r="E477" s="964">
        <v>6.1493411420205</v>
      </c>
      <c r="F477" s="964">
        <v>6.8709261923213001</v>
      </c>
    </row>
    <row r="478" spans="1:6" x14ac:dyDescent="0.3">
      <c r="A478" s="965" t="s">
        <v>307</v>
      </c>
      <c r="B478" s="1795" t="s">
        <v>317</v>
      </c>
      <c r="C478" s="966">
        <v>1772</v>
      </c>
      <c r="D478" s="966">
        <v>-332</v>
      </c>
      <c r="E478" s="966">
        <v>-15.7794676806084</v>
      </c>
      <c r="F478" s="966">
        <v>16.7934913279908</v>
      </c>
    </row>
    <row r="479" spans="1:6" x14ac:dyDescent="0.3">
      <c r="A479" s="967" t="s">
        <v>318</v>
      </c>
      <c r="B479" s="1795" t="s">
        <v>319</v>
      </c>
      <c r="C479" s="968">
        <v>62933</v>
      </c>
      <c r="D479" s="968">
        <v>-2695</v>
      </c>
      <c r="E479" s="968">
        <v>-4.1064789419150403</v>
      </c>
      <c r="F479" s="968">
        <v>596.42482491221597</v>
      </c>
    </row>
    <row r="480" spans="1:6" x14ac:dyDescent="0.3">
      <c r="A480" s="969" t="s">
        <v>318</v>
      </c>
      <c r="B480" s="1795" t="s">
        <v>320</v>
      </c>
      <c r="C480" s="970">
        <v>54848</v>
      </c>
      <c r="D480" s="970">
        <v>-2923</v>
      </c>
      <c r="E480" s="970">
        <v>-5.0596319952917597</v>
      </c>
      <c r="F480" s="970">
        <v>519.80215144336398</v>
      </c>
    </row>
    <row r="481" spans="1:6" x14ac:dyDescent="0.3">
      <c r="A481" s="971" t="s">
        <v>318</v>
      </c>
      <c r="B481" s="1795" t="s">
        <v>321</v>
      </c>
      <c r="C481" s="972">
        <v>14676</v>
      </c>
      <c r="D481" s="972">
        <v>-48</v>
      </c>
      <c r="E481" s="972">
        <v>-0.32599837000815002</v>
      </c>
      <c r="F481" s="972">
        <v>139.08650041173399</v>
      </c>
    </row>
    <row r="482" spans="1:6" x14ac:dyDescent="0.3">
      <c r="A482" s="973" t="s">
        <v>318</v>
      </c>
      <c r="B482" s="1795" t="s">
        <v>322</v>
      </c>
      <c r="C482" s="974">
        <v>40172</v>
      </c>
      <c r="D482" s="974">
        <v>-2875</v>
      </c>
      <c r="E482" s="974">
        <v>-6.6787464863985901</v>
      </c>
      <c r="F482" s="974">
        <v>380.71565103162902</v>
      </c>
    </row>
    <row r="483" spans="1:6" x14ac:dyDescent="0.3">
      <c r="A483" s="975" t="s">
        <v>318</v>
      </c>
      <c r="B483" s="1795" t="s">
        <v>316</v>
      </c>
      <c r="C483" s="976">
        <v>306</v>
      </c>
      <c r="D483" s="976">
        <v>-51</v>
      </c>
      <c r="E483" s="976">
        <v>-14.285714285714301</v>
      </c>
      <c r="F483" s="976">
        <v>2.9000047101383699</v>
      </c>
    </row>
    <row r="484" spans="1:6" x14ac:dyDescent="0.3">
      <c r="A484" s="977" t="s">
        <v>318</v>
      </c>
      <c r="B484" s="1795" t="s">
        <v>323</v>
      </c>
      <c r="C484" s="978">
        <v>7779</v>
      </c>
      <c r="D484" s="978">
        <v>279</v>
      </c>
      <c r="E484" s="978">
        <v>3.72</v>
      </c>
      <c r="F484" s="978">
        <v>73.722668758713596</v>
      </c>
    </row>
    <row r="485" spans="1:6" x14ac:dyDescent="0.3">
      <c r="A485" s="979" t="s">
        <v>324</v>
      </c>
      <c r="B485" s="1795" t="s">
        <v>325</v>
      </c>
      <c r="C485" s="980">
        <v>63279</v>
      </c>
      <c r="D485" s="980">
        <v>-6426</v>
      </c>
      <c r="E485" s="980">
        <v>-9.2188508715300195</v>
      </c>
      <c r="F485" s="980">
        <v>599.70391520537896</v>
      </c>
    </row>
    <row r="486" spans="1:6" x14ac:dyDescent="0.3">
      <c r="A486" s="981" t="s">
        <v>318</v>
      </c>
      <c r="B486" s="1795" t="s">
        <v>914</v>
      </c>
      <c r="C486" s="982">
        <v>2741</v>
      </c>
      <c r="D486" s="982">
        <v>-564</v>
      </c>
      <c r="E486" s="982">
        <v>-17.0650529500756</v>
      </c>
      <c r="F486" s="982">
        <v>25.976839576762298</v>
      </c>
    </row>
    <row r="487" spans="1:6" x14ac:dyDescent="0.3">
      <c r="A487" s="983" t="s">
        <v>318</v>
      </c>
      <c r="B487" s="1795" t="s">
        <v>326</v>
      </c>
      <c r="C487" s="984">
        <v>1590</v>
      </c>
      <c r="D487" s="984">
        <v>-625</v>
      </c>
      <c r="E487" s="984">
        <v>-28.216704288939098</v>
      </c>
      <c r="F487" s="984">
        <v>15.068651925228799</v>
      </c>
    </row>
    <row r="488" spans="1:6" x14ac:dyDescent="0.3">
      <c r="A488" s="985" t="s">
        <v>318</v>
      </c>
      <c r="B488" s="1795" t="s">
        <v>327</v>
      </c>
      <c r="C488" s="986">
        <v>1151</v>
      </c>
      <c r="D488" s="986">
        <v>61</v>
      </c>
      <c r="E488" s="986">
        <v>5.5963302752293602</v>
      </c>
      <c r="F488" s="986">
        <v>10.908187651533501</v>
      </c>
    </row>
    <row r="489" spans="1:6" ht="21.6" x14ac:dyDescent="0.3">
      <c r="A489" s="987" t="s">
        <v>318</v>
      </c>
      <c r="B489" s="1795" t="s">
        <v>915</v>
      </c>
      <c r="C489" s="988">
        <v>2004</v>
      </c>
      <c r="D489" s="988">
        <v>-303</v>
      </c>
      <c r="E489" s="988">
        <v>-13.1339401820546</v>
      </c>
      <c r="F489" s="988">
        <v>18.992187709533599</v>
      </c>
    </row>
    <row r="490" spans="1:6" x14ac:dyDescent="0.3">
      <c r="A490" s="989" t="s">
        <v>318</v>
      </c>
      <c r="B490" s="1795" t="s">
        <v>328</v>
      </c>
      <c r="C490" s="990">
        <v>1800</v>
      </c>
      <c r="D490" s="990">
        <v>-418</v>
      </c>
      <c r="E490" s="990">
        <v>-18.8458070333634</v>
      </c>
      <c r="F490" s="990">
        <v>17.058851236108101</v>
      </c>
    </row>
    <row r="491" spans="1:6" x14ac:dyDescent="0.3">
      <c r="A491" s="991" t="s">
        <v>318</v>
      </c>
      <c r="B491" s="1795" t="s">
        <v>329</v>
      </c>
      <c r="C491" s="992">
        <v>1497</v>
      </c>
      <c r="D491" s="992">
        <v>-410</v>
      </c>
      <c r="E491" s="992">
        <v>-21.499737808075501</v>
      </c>
      <c r="F491" s="992">
        <v>14.1872779446965</v>
      </c>
    </row>
    <row r="492" spans="1:6" x14ac:dyDescent="0.3">
      <c r="A492" s="993" t="s">
        <v>318</v>
      </c>
      <c r="B492" s="1795" t="s">
        <v>330</v>
      </c>
      <c r="C492" s="994">
        <v>242</v>
      </c>
      <c r="D492" s="994">
        <v>11</v>
      </c>
      <c r="E492" s="994">
        <v>4.7619047619047601</v>
      </c>
      <c r="F492" s="994">
        <v>2.2934677772989698</v>
      </c>
    </row>
    <row r="493" spans="1:6" x14ac:dyDescent="0.3">
      <c r="A493" s="995" t="s">
        <v>318</v>
      </c>
      <c r="B493" s="1795" t="s">
        <v>331</v>
      </c>
      <c r="C493" s="996">
        <v>61</v>
      </c>
      <c r="D493" s="996">
        <v>-19</v>
      </c>
      <c r="E493" s="996">
        <v>-23.75</v>
      </c>
      <c r="F493" s="996">
        <v>0.57810551411255096</v>
      </c>
    </row>
    <row r="494" spans="1:6" x14ac:dyDescent="0.3">
      <c r="A494" s="997" t="s">
        <v>318</v>
      </c>
      <c r="B494" s="1795" t="s">
        <v>916</v>
      </c>
      <c r="C494" s="998">
        <v>14483</v>
      </c>
      <c r="D494" s="998">
        <v>-1958</v>
      </c>
      <c r="E494" s="998">
        <v>-11.9092512620887</v>
      </c>
      <c r="F494" s="998">
        <v>137.25741247364101</v>
      </c>
    </row>
    <row r="495" spans="1:6" x14ac:dyDescent="0.3">
      <c r="A495" s="999" t="s">
        <v>318</v>
      </c>
      <c r="B495" s="1795" t="s">
        <v>332</v>
      </c>
      <c r="C495" s="1000">
        <v>1860</v>
      </c>
      <c r="D495" s="1000">
        <v>-436</v>
      </c>
      <c r="E495" s="1000">
        <v>-18.989547038327501</v>
      </c>
      <c r="F495" s="1000">
        <v>17.627479610645</v>
      </c>
    </row>
    <row r="496" spans="1:6" x14ac:dyDescent="0.3">
      <c r="A496" s="1001" t="s">
        <v>318</v>
      </c>
      <c r="B496" s="1795" t="s">
        <v>917</v>
      </c>
      <c r="C496" s="1002">
        <v>12623</v>
      </c>
      <c r="D496" s="1002">
        <v>-1522</v>
      </c>
      <c r="E496" s="1002">
        <v>-10.7599858607282</v>
      </c>
      <c r="F496" s="1002">
        <v>119.629932862996</v>
      </c>
    </row>
    <row r="497" spans="1:6" x14ac:dyDescent="0.3">
      <c r="A497" s="1003" t="s">
        <v>324</v>
      </c>
      <c r="B497" s="1795" t="s">
        <v>333</v>
      </c>
      <c r="C497" s="1004">
        <v>33707</v>
      </c>
      <c r="D497" s="1004">
        <v>-1601</v>
      </c>
      <c r="E497" s="1004">
        <v>-4.5343831426305696</v>
      </c>
      <c r="F497" s="1004">
        <v>319.44594367527498</v>
      </c>
    </row>
    <row r="498" spans="1:6" x14ac:dyDescent="0.3">
      <c r="A498" s="1005" t="s">
        <v>334</v>
      </c>
      <c r="B498" s="1795" t="s">
        <v>335</v>
      </c>
      <c r="C498" s="1006">
        <v>10420</v>
      </c>
      <c r="D498" s="1006">
        <v>-392</v>
      </c>
      <c r="E498" s="1006">
        <v>-3.6256011838697701</v>
      </c>
      <c r="F498" s="1006">
        <v>98.751794377914393</v>
      </c>
    </row>
    <row r="499" spans="1:6" x14ac:dyDescent="0.3">
      <c r="A499" s="1007" t="s">
        <v>334</v>
      </c>
      <c r="B499" s="1795" t="s">
        <v>336</v>
      </c>
      <c r="C499" s="1008">
        <v>5504</v>
      </c>
      <c r="D499" s="1008">
        <v>-198</v>
      </c>
      <c r="E499" s="1008">
        <v>-3.4724658014731702</v>
      </c>
      <c r="F499" s="1008">
        <v>52.162176224188201</v>
      </c>
    </row>
    <row r="500" spans="1:6" x14ac:dyDescent="0.3">
      <c r="A500" s="1009" t="s">
        <v>337</v>
      </c>
      <c r="B500" s="1795" t="s">
        <v>338</v>
      </c>
      <c r="C500" s="1010">
        <v>4150</v>
      </c>
      <c r="D500" s="1010">
        <v>-135</v>
      </c>
      <c r="E500" s="1010">
        <v>-3.1505250875145898</v>
      </c>
      <c r="F500" s="1010">
        <v>39.330129238804702</v>
      </c>
    </row>
    <row r="501" spans="1:6" x14ac:dyDescent="0.3">
      <c r="A501" s="1011" t="s">
        <v>339</v>
      </c>
      <c r="B501" s="1795" t="s">
        <v>338</v>
      </c>
      <c r="C501" s="1012">
        <v>1354</v>
      </c>
      <c r="D501" s="1012">
        <v>-63</v>
      </c>
      <c r="E501" s="1012">
        <v>-4.44601270289344</v>
      </c>
      <c r="F501" s="1012">
        <v>12.832046985383499</v>
      </c>
    </row>
    <row r="502" spans="1:6" x14ac:dyDescent="0.3">
      <c r="A502" s="1013" t="s">
        <v>334</v>
      </c>
      <c r="B502" s="1795" t="s">
        <v>340</v>
      </c>
      <c r="C502" s="1014">
        <v>4916</v>
      </c>
      <c r="D502" s="1014">
        <v>-194</v>
      </c>
      <c r="E502" s="1014">
        <v>-3.7964774951076299</v>
      </c>
      <c r="F502" s="1014">
        <v>46.5896181537262</v>
      </c>
    </row>
    <row r="503" spans="1:6" x14ac:dyDescent="0.3">
      <c r="A503" s="1015" t="s">
        <v>337</v>
      </c>
      <c r="B503" s="1795" t="s">
        <v>341</v>
      </c>
      <c r="C503" s="1016">
        <v>3548</v>
      </c>
      <c r="D503" s="1016">
        <v>-34</v>
      </c>
      <c r="E503" s="1016">
        <v>-0.94919039642657699</v>
      </c>
      <c r="F503" s="1016">
        <v>33.624891214284098</v>
      </c>
    </row>
    <row r="504" spans="1:6" x14ac:dyDescent="0.3">
      <c r="A504" s="1017" t="s">
        <v>339</v>
      </c>
      <c r="B504" s="1795" t="s">
        <v>341</v>
      </c>
      <c r="C504" s="1018">
        <v>1368</v>
      </c>
      <c r="D504" s="1018">
        <v>-160</v>
      </c>
      <c r="E504" s="1018">
        <v>-10.4712041884817</v>
      </c>
      <c r="F504" s="1018">
        <v>12.9647269394421</v>
      </c>
    </row>
    <row r="505" spans="1:6" x14ac:dyDescent="0.3">
      <c r="A505" s="1019" t="s">
        <v>318</v>
      </c>
      <c r="B505" s="1795" t="s">
        <v>342</v>
      </c>
      <c r="C505" s="1020">
        <v>20142</v>
      </c>
      <c r="D505" s="1020">
        <v>-1464</v>
      </c>
      <c r="E505" s="1020">
        <v>-6.7758955845598496</v>
      </c>
      <c r="F505" s="1020">
        <v>190.88854533204901</v>
      </c>
    </row>
    <row r="506" spans="1:6" x14ac:dyDescent="0.3">
      <c r="A506" s="1021" t="s">
        <v>334</v>
      </c>
      <c r="B506" s="1795" t="s">
        <v>343</v>
      </c>
      <c r="C506" s="1022">
        <v>2627</v>
      </c>
      <c r="D506" s="1022">
        <v>-263</v>
      </c>
      <c r="E506" s="1022">
        <v>-9.1003460207612505</v>
      </c>
      <c r="F506" s="1022">
        <v>24.8964456651421</v>
      </c>
    </row>
    <row r="507" spans="1:6" x14ac:dyDescent="0.3">
      <c r="A507" s="1023" t="s">
        <v>318</v>
      </c>
      <c r="B507" s="1795" t="s">
        <v>344</v>
      </c>
      <c r="C507" s="1024">
        <v>8544</v>
      </c>
      <c r="D507" s="1024">
        <v>-1582</v>
      </c>
      <c r="E507" s="1024">
        <v>-15.623148331029</v>
      </c>
      <c r="F507" s="1024">
        <v>80.972680534059606</v>
      </c>
    </row>
    <row r="508" spans="1:6" x14ac:dyDescent="0.3">
      <c r="A508" s="1025" t="s">
        <v>318</v>
      </c>
      <c r="B508" s="1795" t="s">
        <v>345</v>
      </c>
      <c r="C508" s="1026">
        <v>121</v>
      </c>
      <c r="D508" s="1026">
        <v>5</v>
      </c>
      <c r="E508" s="1026">
        <v>4.31034482758621</v>
      </c>
      <c r="F508" s="1026">
        <v>1.14673388864949</v>
      </c>
    </row>
    <row r="509" spans="1:6" ht="21.6" x14ac:dyDescent="0.3">
      <c r="A509" s="1027" t="s">
        <v>318</v>
      </c>
      <c r="B509" s="1795" t="s">
        <v>918</v>
      </c>
      <c r="C509" s="1028">
        <v>7</v>
      </c>
      <c r="D509" s="1028">
        <v>3</v>
      </c>
      <c r="E509" s="1028">
        <v>75</v>
      </c>
      <c r="F509" s="1028">
        <v>6.6339977029309105E-2</v>
      </c>
    </row>
    <row r="510" spans="1:6" ht="21.6" x14ac:dyDescent="0.3">
      <c r="A510" s="1029" t="s">
        <v>318</v>
      </c>
      <c r="B510" s="1795" t="s">
        <v>919</v>
      </c>
      <c r="C510" s="1030">
        <v>7</v>
      </c>
      <c r="D510" s="1030">
        <v>1</v>
      </c>
      <c r="E510" s="1030">
        <v>16.6666666666667</v>
      </c>
      <c r="F510" s="1030">
        <v>6.6339977029309105E-2</v>
      </c>
    </row>
    <row r="511" spans="1:6" ht="21.6" x14ac:dyDescent="0.3">
      <c r="A511" s="1031" t="s">
        <v>318</v>
      </c>
      <c r="B511" s="1795" t="s">
        <v>920</v>
      </c>
      <c r="C511" s="1032">
        <v>44</v>
      </c>
      <c r="D511" s="1032">
        <v>-18</v>
      </c>
      <c r="E511" s="1032">
        <v>-29.0322580645161</v>
      </c>
      <c r="F511" s="1032">
        <v>0.41699414132708601</v>
      </c>
    </row>
    <row r="512" spans="1:6" x14ac:dyDescent="0.3">
      <c r="A512" s="1033" t="s">
        <v>318</v>
      </c>
      <c r="B512" s="1795" t="s">
        <v>921</v>
      </c>
      <c r="C512" s="1034">
        <v>63</v>
      </c>
      <c r="D512" s="1034">
        <v>19</v>
      </c>
      <c r="E512" s="1034">
        <v>43.181818181818201</v>
      </c>
      <c r="F512" s="1034">
        <v>0.597059793263782</v>
      </c>
    </row>
    <row r="513" spans="1:6" x14ac:dyDescent="0.3">
      <c r="A513" s="1035" t="s">
        <v>318</v>
      </c>
      <c r="B513" s="1795" t="s">
        <v>346</v>
      </c>
      <c r="C513" s="1036">
        <v>188421</v>
      </c>
      <c r="D513" s="1036">
        <v>-17656</v>
      </c>
      <c r="E513" s="1036">
        <v>-8.5676713073268704</v>
      </c>
      <c r="F513" s="1036">
        <v>1785.69211597706</v>
      </c>
    </row>
    <row r="514" spans="1:6" x14ac:dyDescent="0.3">
      <c r="A514" s="1037" t="s">
        <v>318</v>
      </c>
      <c r="B514" s="1795" t="s">
        <v>347</v>
      </c>
      <c r="C514" s="1038">
        <v>44673</v>
      </c>
      <c r="D514" s="1038">
        <v>-11906</v>
      </c>
      <c r="E514" s="1038">
        <v>-21.043143215680701</v>
      </c>
      <c r="F514" s="1038">
        <v>423.372256261475</v>
      </c>
    </row>
    <row r="515" spans="1:6" x14ac:dyDescent="0.3">
      <c r="A515" s="1039" t="s">
        <v>318</v>
      </c>
      <c r="B515" s="1795" t="s">
        <v>348</v>
      </c>
      <c r="C515" s="1040">
        <v>34729</v>
      </c>
      <c r="D515" s="1040">
        <v>-11782</v>
      </c>
      <c r="E515" s="1040">
        <v>-25.331641977166701</v>
      </c>
      <c r="F515" s="1040">
        <v>329.131580321554</v>
      </c>
    </row>
    <row r="516" spans="1:6" x14ac:dyDescent="0.3">
      <c r="A516" s="1041" t="s">
        <v>318</v>
      </c>
      <c r="B516" s="1795" t="s">
        <v>349</v>
      </c>
      <c r="C516" s="1042">
        <v>15690</v>
      </c>
      <c r="D516" s="1042">
        <v>-7267</v>
      </c>
      <c r="E516" s="1042">
        <v>-31.654832948555999</v>
      </c>
      <c r="F516" s="1042">
        <v>148.696319941409</v>
      </c>
    </row>
    <row r="517" spans="1:6" x14ac:dyDescent="0.3">
      <c r="A517" s="1043" t="s">
        <v>318</v>
      </c>
      <c r="B517" s="1795" t="s">
        <v>350</v>
      </c>
      <c r="C517" s="1044">
        <v>19039</v>
      </c>
      <c r="D517" s="1044">
        <v>-4515</v>
      </c>
      <c r="E517" s="1044">
        <v>-19.168718688969999</v>
      </c>
      <c r="F517" s="1044">
        <v>180.435260380145</v>
      </c>
    </row>
    <row r="518" spans="1:6" x14ac:dyDescent="0.3">
      <c r="A518" s="1045" t="s">
        <v>318</v>
      </c>
      <c r="B518" s="1795" t="s">
        <v>351</v>
      </c>
      <c r="C518" s="1046">
        <v>4408</v>
      </c>
      <c r="D518" s="1046">
        <v>512</v>
      </c>
      <c r="E518" s="1046">
        <v>13.1416837782341</v>
      </c>
      <c r="F518" s="1046">
        <v>41.775231249313499</v>
      </c>
    </row>
    <row r="519" spans="1:6" x14ac:dyDescent="0.3">
      <c r="A519" s="1047" t="s">
        <v>318</v>
      </c>
      <c r="B519" s="1795" t="s">
        <v>352</v>
      </c>
      <c r="C519" s="1048">
        <v>1772</v>
      </c>
      <c r="D519" s="1048">
        <v>-158</v>
      </c>
      <c r="E519" s="1048">
        <v>-8.1865284974093306</v>
      </c>
      <c r="F519" s="1048">
        <v>16.7934913279908</v>
      </c>
    </row>
    <row r="520" spans="1:6" x14ac:dyDescent="0.3">
      <c r="A520" s="1049" t="s">
        <v>318</v>
      </c>
      <c r="B520" s="1795" t="s">
        <v>353</v>
      </c>
      <c r="C520" s="1050">
        <v>1064</v>
      </c>
      <c r="D520" s="1050">
        <v>122</v>
      </c>
      <c r="E520" s="1050">
        <v>12.951167728237801</v>
      </c>
      <c r="F520" s="1050">
        <v>10.083676508455</v>
      </c>
    </row>
    <row r="521" spans="1:6" x14ac:dyDescent="0.3">
      <c r="A521" s="1051" t="s">
        <v>318</v>
      </c>
      <c r="B521" s="1795" t="s">
        <v>354</v>
      </c>
      <c r="C521" s="1052">
        <v>2700</v>
      </c>
      <c r="D521" s="1052">
        <v>-600</v>
      </c>
      <c r="E521" s="1052">
        <v>-18.181818181818201</v>
      </c>
      <c r="F521" s="1052">
        <v>25.5882768541621</v>
      </c>
    </row>
    <row r="522" spans="1:6" ht="21.6" x14ac:dyDescent="0.3">
      <c r="A522" s="1053" t="s">
        <v>318</v>
      </c>
      <c r="B522" s="1795" t="s">
        <v>922</v>
      </c>
      <c r="C522" s="1054">
        <v>1058</v>
      </c>
      <c r="D522" s="1054">
        <v>68</v>
      </c>
      <c r="E522" s="1054">
        <v>6.8686868686868703</v>
      </c>
      <c r="F522" s="1054">
        <v>10.0268136710013</v>
      </c>
    </row>
    <row r="523" spans="1:6" x14ac:dyDescent="0.3">
      <c r="A523" s="1055" t="s">
        <v>318</v>
      </c>
      <c r="B523" s="1795" t="s">
        <v>355</v>
      </c>
      <c r="C523" s="1056">
        <v>1642</v>
      </c>
      <c r="D523" s="1056">
        <v>-668</v>
      </c>
      <c r="E523" s="1056">
        <v>-28.917748917748899</v>
      </c>
      <c r="F523" s="1056">
        <v>15.5614631831608</v>
      </c>
    </row>
    <row r="524" spans="1:6" x14ac:dyDescent="0.3">
      <c r="A524" s="1057" t="s">
        <v>318</v>
      </c>
      <c r="B524" s="1795" t="s">
        <v>356</v>
      </c>
      <c r="C524" s="1058">
        <v>3780</v>
      </c>
      <c r="D524" s="1058">
        <v>-2825</v>
      </c>
      <c r="E524" s="1058">
        <v>-42.770628311884899</v>
      </c>
      <c r="F524" s="1058">
        <v>35.823587595826901</v>
      </c>
    </row>
    <row r="525" spans="1:6" x14ac:dyDescent="0.3">
      <c r="A525" s="1059" t="s">
        <v>318</v>
      </c>
      <c r="B525" s="1795" t="s">
        <v>357</v>
      </c>
      <c r="C525" s="1060">
        <v>2044</v>
      </c>
      <c r="D525" s="1060">
        <v>-1815</v>
      </c>
      <c r="E525" s="1060">
        <v>-47.032910080331703</v>
      </c>
      <c r="F525" s="1060">
        <v>19.3712732925583</v>
      </c>
    </row>
    <row r="526" spans="1:6" x14ac:dyDescent="0.3">
      <c r="A526" s="1061" t="s">
        <v>318</v>
      </c>
      <c r="B526" s="1795" t="s">
        <v>358</v>
      </c>
      <c r="C526" s="1062">
        <v>1866</v>
      </c>
      <c r="D526" s="1062">
        <v>-1753</v>
      </c>
      <c r="E526" s="1062">
        <v>-48.438795247305897</v>
      </c>
      <c r="F526" s="1062">
        <v>17.6843424480987</v>
      </c>
    </row>
    <row r="527" spans="1:6" x14ac:dyDescent="0.3">
      <c r="A527" s="1063" t="s">
        <v>318</v>
      </c>
      <c r="B527" s="1795" t="s">
        <v>359</v>
      </c>
      <c r="C527" s="1064">
        <v>178</v>
      </c>
      <c r="D527" s="1064">
        <v>-62</v>
      </c>
      <c r="E527" s="1064">
        <v>-25.8333333333333</v>
      </c>
      <c r="F527" s="1064">
        <v>1.6869308444595701</v>
      </c>
    </row>
    <row r="528" spans="1:6" x14ac:dyDescent="0.3">
      <c r="A528" s="1065" t="s">
        <v>318</v>
      </c>
      <c r="B528" s="1795" t="s">
        <v>360</v>
      </c>
      <c r="C528" s="1066">
        <v>1736</v>
      </c>
      <c r="D528" s="1066">
        <v>-1010</v>
      </c>
      <c r="E528" s="1066">
        <v>-36.780772032046599</v>
      </c>
      <c r="F528" s="1066">
        <v>16.4523143032687</v>
      </c>
    </row>
    <row r="529" spans="1:6" x14ac:dyDescent="0.3">
      <c r="A529" s="1067" t="s">
        <v>318</v>
      </c>
      <c r="B529" s="1795" t="s">
        <v>361</v>
      </c>
      <c r="C529" s="1068">
        <v>435</v>
      </c>
      <c r="D529" s="1068">
        <v>-283</v>
      </c>
      <c r="E529" s="1068">
        <v>-39.415041782729801</v>
      </c>
      <c r="F529" s="1068">
        <v>4.1225557153927799</v>
      </c>
    </row>
    <row r="530" spans="1:6" x14ac:dyDescent="0.3">
      <c r="A530" s="1069" t="s">
        <v>318</v>
      </c>
      <c r="B530" s="1795" t="s">
        <v>362</v>
      </c>
      <c r="C530" s="1070">
        <v>1301</v>
      </c>
      <c r="D530" s="1070">
        <v>-727</v>
      </c>
      <c r="E530" s="1070">
        <v>-35.848126232741599</v>
      </c>
      <c r="F530" s="1070">
        <v>12.329758587875901</v>
      </c>
    </row>
    <row r="531" spans="1:6" x14ac:dyDescent="0.3">
      <c r="A531" s="1071" t="s">
        <v>318</v>
      </c>
      <c r="B531" s="1795" t="s">
        <v>363</v>
      </c>
      <c r="C531" s="1072">
        <v>10530</v>
      </c>
      <c r="D531" s="1072">
        <v>1055</v>
      </c>
      <c r="E531" s="1072">
        <v>11.1345646437995</v>
      </c>
      <c r="F531" s="1072">
        <v>99.794279731232095</v>
      </c>
    </row>
    <row r="532" spans="1:6" x14ac:dyDescent="0.3">
      <c r="A532" s="1073" t="s">
        <v>318</v>
      </c>
      <c r="B532" s="1795" t="s">
        <v>364</v>
      </c>
      <c r="C532" s="1074">
        <v>5549</v>
      </c>
      <c r="D532" s="1074">
        <v>596</v>
      </c>
      <c r="E532" s="1074">
        <v>12.0331112457097</v>
      </c>
      <c r="F532" s="1074">
        <v>52.588647505090897</v>
      </c>
    </row>
    <row r="533" spans="1:6" x14ac:dyDescent="0.3">
      <c r="A533" s="1075" t="s">
        <v>318</v>
      </c>
      <c r="B533" s="1795" t="s">
        <v>365</v>
      </c>
      <c r="C533" s="1076">
        <v>4981</v>
      </c>
      <c r="D533" s="1076">
        <v>459</v>
      </c>
      <c r="E533" s="1076">
        <v>10.150375939849599</v>
      </c>
      <c r="F533" s="1076">
        <v>47.205632226141198</v>
      </c>
    </row>
    <row r="534" spans="1:6" x14ac:dyDescent="0.3">
      <c r="A534" s="1077" t="s">
        <v>318</v>
      </c>
      <c r="B534" s="1795" t="s">
        <v>923</v>
      </c>
      <c r="C534" s="1078">
        <v>7461</v>
      </c>
      <c r="D534" s="1078">
        <v>239</v>
      </c>
      <c r="E534" s="1078">
        <v>3.3093325948490699</v>
      </c>
      <c r="F534" s="1078">
        <v>70.708938373667905</v>
      </c>
    </row>
    <row r="535" spans="1:6" x14ac:dyDescent="0.3">
      <c r="A535" s="1079" t="s">
        <v>318</v>
      </c>
      <c r="B535" s="1795" t="s">
        <v>366</v>
      </c>
      <c r="C535" s="1080">
        <v>43397</v>
      </c>
      <c r="D535" s="1080">
        <v>-4049</v>
      </c>
      <c r="E535" s="1080">
        <v>-8.5339122370695097</v>
      </c>
      <c r="F535" s="1080">
        <v>411.27942616298998</v>
      </c>
    </row>
    <row r="536" spans="1:6" x14ac:dyDescent="0.3">
      <c r="A536" s="1081" t="s">
        <v>318</v>
      </c>
      <c r="B536" s="1795" t="s">
        <v>367</v>
      </c>
      <c r="C536" s="1082">
        <v>4479</v>
      </c>
      <c r="D536" s="1082">
        <v>-310</v>
      </c>
      <c r="E536" s="1082">
        <v>-6.4731676759239898</v>
      </c>
      <c r="F536" s="1082">
        <v>42.448108159182198</v>
      </c>
    </row>
    <row r="537" spans="1:6" x14ac:dyDescent="0.3">
      <c r="A537" s="1083" t="s">
        <v>318</v>
      </c>
      <c r="B537" s="1795" t="s">
        <v>368</v>
      </c>
      <c r="C537" s="1084">
        <v>1295</v>
      </c>
      <c r="D537" s="1084">
        <v>-113</v>
      </c>
      <c r="E537" s="1084">
        <v>-8.0255681818181799</v>
      </c>
      <c r="F537" s="1084">
        <v>12.272895750422199</v>
      </c>
    </row>
    <row r="538" spans="1:6" x14ac:dyDescent="0.3">
      <c r="A538" s="1085" t="s">
        <v>318</v>
      </c>
      <c r="B538" s="1795" t="s">
        <v>369</v>
      </c>
      <c r="C538" s="1086">
        <v>3184</v>
      </c>
      <c r="D538" s="1086">
        <v>-197</v>
      </c>
      <c r="E538" s="1086">
        <v>-5.8266784974859496</v>
      </c>
      <c r="F538" s="1086">
        <v>30.17521240876</v>
      </c>
    </row>
    <row r="539" spans="1:6" x14ac:dyDescent="0.3">
      <c r="A539" s="1087" t="s">
        <v>370</v>
      </c>
      <c r="B539" s="1795" t="s">
        <v>371</v>
      </c>
      <c r="C539" s="1088">
        <v>14134</v>
      </c>
      <c r="D539" s="1088">
        <v>1786</v>
      </c>
      <c r="E539" s="1088">
        <v>14.4638807904114</v>
      </c>
      <c r="F539" s="1088">
        <v>133.94989076175099</v>
      </c>
    </row>
    <row r="540" spans="1:6" x14ac:dyDescent="0.3">
      <c r="A540" s="1089" t="s">
        <v>370</v>
      </c>
      <c r="B540" s="1795" t="s">
        <v>372</v>
      </c>
      <c r="C540" s="1090">
        <v>12351</v>
      </c>
      <c r="D540" s="1090">
        <v>1533</v>
      </c>
      <c r="E540" s="1090">
        <v>14.170826400443699</v>
      </c>
      <c r="F540" s="1090">
        <v>117.052150898428</v>
      </c>
    </row>
    <row r="541" spans="1:6" x14ac:dyDescent="0.3">
      <c r="A541" s="1091" t="s">
        <v>370</v>
      </c>
      <c r="B541" s="1795" t="s">
        <v>373</v>
      </c>
      <c r="C541" s="1092">
        <v>5399</v>
      </c>
      <c r="D541" s="1092">
        <v>742</v>
      </c>
      <c r="E541" s="1092">
        <v>15.933004079879799</v>
      </c>
      <c r="F541" s="1092">
        <v>51.167076568748499</v>
      </c>
    </row>
    <row r="542" spans="1:6" x14ac:dyDescent="0.3">
      <c r="A542" s="1093" t="s">
        <v>370</v>
      </c>
      <c r="B542" s="1795" t="s">
        <v>374</v>
      </c>
      <c r="C542" s="1094">
        <v>6952</v>
      </c>
      <c r="D542" s="1094">
        <v>791</v>
      </c>
      <c r="E542" s="1094">
        <v>12.8388248660932</v>
      </c>
      <c r="F542" s="1094">
        <v>65.885074329679597</v>
      </c>
    </row>
    <row r="543" spans="1:6" x14ac:dyDescent="0.3">
      <c r="A543" s="1095" t="s">
        <v>318</v>
      </c>
      <c r="B543" s="1795" t="s">
        <v>375</v>
      </c>
      <c r="C543" s="1096">
        <v>1783</v>
      </c>
      <c r="D543" s="1096">
        <v>253</v>
      </c>
      <c r="E543" s="1096">
        <v>16.535947712418299</v>
      </c>
      <c r="F543" s="1096">
        <v>16.897739863322599</v>
      </c>
    </row>
    <row r="544" spans="1:6" x14ac:dyDescent="0.3">
      <c r="A544" s="1097" t="s">
        <v>318</v>
      </c>
      <c r="B544" s="1795" t="s">
        <v>376</v>
      </c>
      <c r="C544" s="1098">
        <v>767</v>
      </c>
      <c r="D544" s="1098">
        <v>-111</v>
      </c>
      <c r="E544" s="1098">
        <v>-12.6423690205011</v>
      </c>
      <c r="F544" s="1098">
        <v>7.2689660544971497</v>
      </c>
    </row>
    <row r="545" spans="1:6" x14ac:dyDescent="0.3">
      <c r="A545" s="1099" t="s">
        <v>318</v>
      </c>
      <c r="B545" s="1795" t="s">
        <v>377</v>
      </c>
      <c r="C545" s="1100">
        <v>146</v>
      </c>
      <c r="D545" s="1100">
        <v>-40</v>
      </c>
      <c r="E545" s="1100">
        <v>-21.505376344085999</v>
      </c>
      <c r="F545" s="1100">
        <v>1.38366237803988</v>
      </c>
    </row>
    <row r="546" spans="1:6" x14ac:dyDescent="0.3">
      <c r="A546" s="1101" t="s">
        <v>318</v>
      </c>
      <c r="B546" s="1795" t="s">
        <v>378</v>
      </c>
      <c r="C546" s="1102">
        <v>621</v>
      </c>
      <c r="D546" s="1102">
        <v>-71</v>
      </c>
      <c r="E546" s="1102">
        <v>-10.260115606936401</v>
      </c>
      <c r="F546" s="1102">
        <v>5.8853036764572799</v>
      </c>
    </row>
    <row r="547" spans="1:6" x14ac:dyDescent="0.3">
      <c r="A547" s="1103" t="s">
        <v>318</v>
      </c>
      <c r="B547" s="1795" t="s">
        <v>379</v>
      </c>
      <c r="C547" s="1104">
        <v>19047</v>
      </c>
      <c r="D547" s="1104">
        <v>-1147</v>
      </c>
      <c r="E547" s="1104">
        <v>-5.6799049222541296</v>
      </c>
      <c r="F547" s="1104">
        <v>180.51107749675</v>
      </c>
    </row>
    <row r="548" spans="1:6" x14ac:dyDescent="0.3">
      <c r="A548" s="1105" t="s">
        <v>318</v>
      </c>
      <c r="B548" s="1795" t="s">
        <v>380</v>
      </c>
      <c r="C548" s="1106">
        <v>1914</v>
      </c>
      <c r="D548" s="1106">
        <v>56</v>
      </c>
      <c r="E548" s="1106">
        <v>3.0139935414424102</v>
      </c>
      <c r="F548" s="1106">
        <v>18.1392451477282</v>
      </c>
    </row>
    <row r="549" spans="1:6" x14ac:dyDescent="0.3">
      <c r="A549" s="1107" t="s">
        <v>318</v>
      </c>
      <c r="B549" s="1795" t="s">
        <v>381</v>
      </c>
      <c r="C549" s="1108">
        <v>17133</v>
      </c>
      <c r="D549" s="1108">
        <v>-1203</v>
      </c>
      <c r="E549" s="1108">
        <v>-6.5608638743455501</v>
      </c>
      <c r="F549" s="1108">
        <v>162.37183234902199</v>
      </c>
    </row>
    <row r="550" spans="1:6" x14ac:dyDescent="0.3">
      <c r="A550" s="1109" t="s">
        <v>318</v>
      </c>
      <c r="B550" s="1795" t="s">
        <v>382</v>
      </c>
      <c r="C550" s="1110">
        <v>40153</v>
      </c>
      <c r="D550" s="1110">
        <v>-388</v>
      </c>
      <c r="E550" s="1110">
        <v>-0.95705582003403999</v>
      </c>
      <c r="F550" s="1110">
        <v>380.53558537969298</v>
      </c>
    </row>
    <row r="551" spans="1:6" x14ac:dyDescent="0.3">
      <c r="A551" s="1111" t="s">
        <v>383</v>
      </c>
      <c r="B551" s="1795" t="s">
        <v>384</v>
      </c>
      <c r="C551" s="1112">
        <v>4774</v>
      </c>
      <c r="D551" s="1112">
        <v>-1627</v>
      </c>
      <c r="E551" s="1112">
        <v>-25.417903452585499</v>
      </c>
      <c r="F551" s="1112">
        <v>45.243864333988803</v>
      </c>
    </row>
    <row r="552" spans="1:6" x14ac:dyDescent="0.3">
      <c r="A552" s="1113" t="s">
        <v>383</v>
      </c>
      <c r="B552" s="1795" t="s">
        <v>385</v>
      </c>
      <c r="C552" s="1114">
        <v>2</v>
      </c>
      <c r="D552" s="1114">
        <v>2</v>
      </c>
      <c r="E552" s="1114" t="s">
        <v>38</v>
      </c>
      <c r="F552" s="1114">
        <v>1.8954279151231199E-2</v>
      </c>
    </row>
    <row r="553" spans="1:6" x14ac:dyDescent="0.3">
      <c r="A553" s="1115" t="s">
        <v>383</v>
      </c>
      <c r="B553" s="1795" t="s">
        <v>386</v>
      </c>
      <c r="C553" s="1116">
        <v>2</v>
      </c>
      <c r="D553" s="1116">
        <v>2</v>
      </c>
      <c r="E553" s="1116" t="s">
        <v>38</v>
      </c>
      <c r="F553" s="1116">
        <v>1.8954279151231199E-2</v>
      </c>
    </row>
    <row r="554" spans="1:6" x14ac:dyDescent="0.3">
      <c r="A554" s="1117" t="s">
        <v>383</v>
      </c>
      <c r="B554" s="1795" t="s">
        <v>387</v>
      </c>
      <c r="C554" s="1118">
        <v>0</v>
      </c>
      <c r="D554" s="1118">
        <v>0</v>
      </c>
      <c r="E554" s="1118" t="s">
        <v>38</v>
      </c>
      <c r="F554" s="1118">
        <v>0</v>
      </c>
    </row>
    <row r="555" spans="1:6" x14ac:dyDescent="0.3">
      <c r="A555" s="1119" t="s">
        <v>383</v>
      </c>
      <c r="B555" s="1795" t="s">
        <v>388</v>
      </c>
      <c r="C555" s="1120">
        <v>226</v>
      </c>
      <c r="D555" s="1120">
        <v>-135</v>
      </c>
      <c r="E555" s="1120">
        <v>-37.396121883656498</v>
      </c>
      <c r="F555" s="1120">
        <v>2.1418335440891201</v>
      </c>
    </row>
    <row r="556" spans="1:6" x14ac:dyDescent="0.3">
      <c r="A556" s="1121" t="s">
        <v>383</v>
      </c>
      <c r="B556" s="1795" t="s">
        <v>389</v>
      </c>
      <c r="C556" s="1122">
        <v>20</v>
      </c>
      <c r="D556" s="1122">
        <v>-24</v>
      </c>
      <c r="E556" s="1122">
        <v>-54.545454545454497</v>
      </c>
      <c r="F556" s="1122">
        <v>0.18954279151231199</v>
      </c>
    </row>
    <row r="557" spans="1:6" x14ac:dyDescent="0.3">
      <c r="A557" s="1123" t="s">
        <v>383</v>
      </c>
      <c r="B557" s="1795" t="s">
        <v>390</v>
      </c>
      <c r="C557" s="1124">
        <v>206</v>
      </c>
      <c r="D557" s="1124">
        <v>-111</v>
      </c>
      <c r="E557" s="1124">
        <v>-35.015772870662502</v>
      </c>
      <c r="F557" s="1124">
        <v>1.9522907525768101</v>
      </c>
    </row>
    <row r="558" spans="1:6" x14ac:dyDescent="0.3">
      <c r="A558" s="1125" t="s">
        <v>383</v>
      </c>
      <c r="B558" s="1795" t="s">
        <v>391</v>
      </c>
      <c r="C558" s="1126">
        <v>1</v>
      </c>
      <c r="D558" s="1126">
        <v>0</v>
      </c>
      <c r="E558" s="1126">
        <v>0</v>
      </c>
      <c r="F558" s="1126">
        <v>9.4771395756155907E-3</v>
      </c>
    </row>
    <row r="559" spans="1:6" x14ac:dyDescent="0.3">
      <c r="A559" s="1127" t="s">
        <v>383</v>
      </c>
      <c r="B559" s="1795" t="s">
        <v>392</v>
      </c>
      <c r="C559" s="1128">
        <v>0</v>
      </c>
      <c r="D559" s="1128">
        <v>0</v>
      </c>
      <c r="E559" s="1128" t="s">
        <v>38</v>
      </c>
      <c r="F559" s="1128">
        <v>0</v>
      </c>
    </row>
    <row r="560" spans="1:6" x14ac:dyDescent="0.3">
      <c r="A560" s="1129" t="s">
        <v>383</v>
      </c>
      <c r="B560" s="1795" t="s">
        <v>393</v>
      </c>
      <c r="C560" s="1130">
        <v>1</v>
      </c>
      <c r="D560" s="1130">
        <v>0</v>
      </c>
      <c r="E560" s="1130">
        <v>0</v>
      </c>
      <c r="F560" s="1130">
        <v>9.4771395756155907E-3</v>
      </c>
    </row>
    <row r="561" spans="1:6" x14ac:dyDescent="0.3">
      <c r="A561" s="1131" t="s">
        <v>383</v>
      </c>
      <c r="B561" s="1795" t="s">
        <v>394</v>
      </c>
      <c r="C561" s="1132">
        <v>0</v>
      </c>
      <c r="D561" s="1132">
        <v>-1</v>
      </c>
      <c r="E561" s="1132">
        <v>-100</v>
      </c>
      <c r="F561" s="1132">
        <v>0</v>
      </c>
    </row>
    <row r="562" spans="1:6" x14ac:dyDescent="0.3">
      <c r="A562" s="1133" t="s">
        <v>383</v>
      </c>
      <c r="B562" s="1795" t="s">
        <v>395</v>
      </c>
      <c r="C562" s="1134">
        <v>0</v>
      </c>
      <c r="D562" s="1134">
        <v>0</v>
      </c>
      <c r="E562" s="1134" t="s">
        <v>38</v>
      </c>
      <c r="F562" s="1134">
        <v>0</v>
      </c>
    </row>
    <row r="563" spans="1:6" x14ac:dyDescent="0.3">
      <c r="A563" s="1135" t="s">
        <v>383</v>
      </c>
      <c r="B563" s="1795" t="s">
        <v>396</v>
      </c>
      <c r="C563" s="1136">
        <v>0</v>
      </c>
      <c r="D563" s="1136">
        <v>-1</v>
      </c>
      <c r="E563" s="1136">
        <v>-100</v>
      </c>
      <c r="F563" s="1136">
        <v>0</v>
      </c>
    </row>
    <row r="564" spans="1:6" x14ac:dyDescent="0.3">
      <c r="A564" s="1137" t="s">
        <v>383</v>
      </c>
      <c r="B564" s="1795" t="s">
        <v>397</v>
      </c>
      <c r="C564" s="1138">
        <v>8</v>
      </c>
      <c r="D564" s="1138">
        <v>-5</v>
      </c>
      <c r="E564" s="1138">
        <v>-38.461538461538503</v>
      </c>
      <c r="F564" s="1138">
        <v>7.5817116604924698E-2</v>
      </c>
    </row>
    <row r="565" spans="1:6" x14ac:dyDescent="0.3">
      <c r="A565" s="1139" t="s">
        <v>383</v>
      </c>
      <c r="B565" s="1795" t="s">
        <v>398</v>
      </c>
      <c r="C565" s="1140">
        <v>2</v>
      </c>
      <c r="D565" s="1140">
        <v>1</v>
      </c>
      <c r="E565" s="1140">
        <v>100</v>
      </c>
      <c r="F565" s="1140">
        <v>1.8954279151231199E-2</v>
      </c>
    </row>
    <row r="566" spans="1:6" x14ac:dyDescent="0.3">
      <c r="A566" s="1141" t="s">
        <v>383</v>
      </c>
      <c r="B566" s="1795" t="s">
        <v>399</v>
      </c>
      <c r="C566" s="1142">
        <v>6</v>
      </c>
      <c r="D566" s="1142">
        <v>-6</v>
      </c>
      <c r="E566" s="1142">
        <v>-50</v>
      </c>
      <c r="F566" s="1142">
        <v>5.6862837453693499E-2</v>
      </c>
    </row>
    <row r="567" spans="1:6" x14ac:dyDescent="0.3">
      <c r="A567" s="1143" t="s">
        <v>383</v>
      </c>
      <c r="B567" s="1795" t="s">
        <v>400</v>
      </c>
      <c r="C567" s="1144">
        <v>364</v>
      </c>
      <c r="D567" s="1144">
        <v>-129</v>
      </c>
      <c r="E567" s="1144">
        <v>-26.166328600405699</v>
      </c>
      <c r="F567" s="1144">
        <v>3.4496788055240701</v>
      </c>
    </row>
    <row r="568" spans="1:6" x14ac:dyDescent="0.3">
      <c r="A568" s="1145" t="s">
        <v>383</v>
      </c>
      <c r="B568" s="1795" t="s">
        <v>401</v>
      </c>
      <c r="C568" s="1146">
        <v>48</v>
      </c>
      <c r="D568" s="1146">
        <v>-36</v>
      </c>
      <c r="E568" s="1146">
        <v>-42.857142857142897</v>
      </c>
      <c r="F568" s="1146">
        <v>0.45490269962954799</v>
      </c>
    </row>
    <row r="569" spans="1:6" x14ac:dyDescent="0.3">
      <c r="A569" s="1147" t="s">
        <v>383</v>
      </c>
      <c r="B569" s="1795" t="s">
        <v>924</v>
      </c>
      <c r="C569" s="1148">
        <v>316</v>
      </c>
      <c r="D569" s="1148">
        <v>-93</v>
      </c>
      <c r="E569" s="1148">
        <v>-22.738386308068499</v>
      </c>
      <c r="F569" s="1148">
        <v>2.9947761058945299</v>
      </c>
    </row>
    <row r="570" spans="1:6" x14ac:dyDescent="0.3">
      <c r="A570" s="1149" t="s">
        <v>383</v>
      </c>
      <c r="B570" s="1795" t="s">
        <v>402</v>
      </c>
      <c r="C570" s="1150">
        <v>3716</v>
      </c>
      <c r="D570" s="1150">
        <v>-1165</v>
      </c>
      <c r="E570" s="1150">
        <v>-23.8680598238066</v>
      </c>
      <c r="F570" s="1150">
        <v>35.217050662987504</v>
      </c>
    </row>
    <row r="571" spans="1:6" x14ac:dyDescent="0.3">
      <c r="A571" s="1151" t="s">
        <v>383</v>
      </c>
      <c r="B571" s="1795" t="s">
        <v>403</v>
      </c>
      <c r="C571" s="1152">
        <v>971</v>
      </c>
      <c r="D571" s="1152">
        <v>-476</v>
      </c>
      <c r="E571" s="1152">
        <v>-32.895646164478201</v>
      </c>
      <c r="F571" s="1152">
        <v>9.2023025279227308</v>
      </c>
    </row>
    <row r="572" spans="1:6" x14ac:dyDescent="0.3">
      <c r="A572" s="1153" t="s">
        <v>383</v>
      </c>
      <c r="B572" s="1795" t="s">
        <v>925</v>
      </c>
      <c r="C572" s="1154">
        <v>852</v>
      </c>
      <c r="D572" s="1154">
        <v>-438</v>
      </c>
      <c r="E572" s="1154">
        <v>-33.953488372092998</v>
      </c>
      <c r="F572" s="1154">
        <v>8.0745229184244796</v>
      </c>
    </row>
    <row r="573" spans="1:6" ht="21.6" x14ac:dyDescent="0.3">
      <c r="A573" s="1155" t="s">
        <v>383</v>
      </c>
      <c r="B573" s="1795" t="s">
        <v>926</v>
      </c>
      <c r="C573" s="1156">
        <v>53</v>
      </c>
      <c r="D573" s="1156">
        <v>-12</v>
      </c>
      <c r="E573" s="1156">
        <v>-18.461538461538499</v>
      </c>
      <c r="F573" s="1156">
        <v>0.50228839750762599</v>
      </c>
    </row>
    <row r="574" spans="1:6" ht="21.6" x14ac:dyDescent="0.3">
      <c r="A574" s="1157" t="s">
        <v>383</v>
      </c>
      <c r="B574" s="1795" t="s">
        <v>927</v>
      </c>
      <c r="C574" s="1158">
        <v>799</v>
      </c>
      <c r="D574" s="1158">
        <v>-426</v>
      </c>
      <c r="E574" s="1158">
        <v>-34.775510204081598</v>
      </c>
      <c r="F574" s="1158">
        <v>7.57223452091685</v>
      </c>
    </row>
    <row r="575" spans="1:6" x14ac:dyDescent="0.3">
      <c r="A575" s="1159" t="s">
        <v>383</v>
      </c>
      <c r="B575" s="1795" t="s">
        <v>928</v>
      </c>
      <c r="C575" s="1160">
        <v>119</v>
      </c>
      <c r="D575" s="1160">
        <v>-38</v>
      </c>
      <c r="E575" s="1160">
        <v>-24.203821656051002</v>
      </c>
      <c r="F575" s="1160">
        <v>1.12777960949825</v>
      </c>
    </row>
    <row r="576" spans="1:6" ht="21.6" x14ac:dyDescent="0.3">
      <c r="A576" s="1161" t="s">
        <v>383</v>
      </c>
      <c r="B576" s="1795" t="s">
        <v>929</v>
      </c>
      <c r="C576" s="1162">
        <v>7</v>
      </c>
      <c r="D576" s="1162">
        <v>-7</v>
      </c>
      <c r="E576" s="1162">
        <v>-50</v>
      </c>
      <c r="F576" s="1162">
        <v>6.6339977029309105E-2</v>
      </c>
    </row>
    <row r="577" spans="1:6" ht="21.6" x14ac:dyDescent="0.3">
      <c r="A577" s="1163" t="s">
        <v>383</v>
      </c>
      <c r="B577" s="1795" t="s">
        <v>930</v>
      </c>
      <c r="C577" s="1164">
        <v>112</v>
      </c>
      <c r="D577" s="1164">
        <v>-31</v>
      </c>
      <c r="E577" s="1164">
        <v>-21.678321678321701</v>
      </c>
      <c r="F577" s="1164">
        <v>1.0614396324689499</v>
      </c>
    </row>
    <row r="578" spans="1:6" x14ac:dyDescent="0.3">
      <c r="A578" s="1165" t="s">
        <v>383</v>
      </c>
      <c r="B578" s="1795" t="s">
        <v>404</v>
      </c>
      <c r="C578" s="1166">
        <v>2745</v>
      </c>
      <c r="D578" s="1166">
        <v>-689</v>
      </c>
      <c r="E578" s="1166">
        <v>-20.0640652300524</v>
      </c>
      <c r="F578" s="1166">
        <v>26.014748135064799</v>
      </c>
    </row>
    <row r="579" spans="1:6" x14ac:dyDescent="0.3">
      <c r="A579" s="1167" t="s">
        <v>383</v>
      </c>
      <c r="B579" s="1795" t="s">
        <v>931</v>
      </c>
      <c r="C579" s="1168">
        <v>2195</v>
      </c>
      <c r="D579" s="1168">
        <v>-608</v>
      </c>
      <c r="E579" s="1168">
        <v>-21.6910453085979</v>
      </c>
      <c r="F579" s="1168">
        <v>20.8023213684762</v>
      </c>
    </row>
    <row r="580" spans="1:6" ht="21.6" x14ac:dyDescent="0.3">
      <c r="A580" s="1169" t="s">
        <v>383</v>
      </c>
      <c r="B580" s="1795" t="s">
        <v>932</v>
      </c>
      <c r="C580" s="1170">
        <v>221</v>
      </c>
      <c r="D580" s="1170">
        <v>-80</v>
      </c>
      <c r="E580" s="1170">
        <v>-26.578073089701</v>
      </c>
      <c r="F580" s="1170">
        <v>2.0944478462110401</v>
      </c>
    </row>
    <row r="581" spans="1:6" ht="21.6" x14ac:dyDescent="0.3">
      <c r="A581" s="1171" t="s">
        <v>383</v>
      </c>
      <c r="B581" s="1795" t="s">
        <v>933</v>
      </c>
      <c r="C581" s="1172">
        <v>1974</v>
      </c>
      <c r="D581" s="1172">
        <v>-528</v>
      </c>
      <c r="E581" s="1172">
        <v>-21.103117505995201</v>
      </c>
      <c r="F581" s="1172">
        <v>18.707873522265199</v>
      </c>
    </row>
    <row r="582" spans="1:6" x14ac:dyDescent="0.3">
      <c r="A582" s="1173" t="s">
        <v>383</v>
      </c>
      <c r="B582" s="1795" t="s">
        <v>934</v>
      </c>
      <c r="C582" s="1174">
        <v>550</v>
      </c>
      <c r="D582" s="1174">
        <v>-81</v>
      </c>
      <c r="E582" s="1174">
        <v>-12.8367670364501</v>
      </c>
      <c r="F582" s="1174">
        <v>5.2124267665885702</v>
      </c>
    </row>
    <row r="583" spans="1:6" ht="21.6" x14ac:dyDescent="0.3">
      <c r="A583" s="1175" t="s">
        <v>383</v>
      </c>
      <c r="B583" s="1795" t="s">
        <v>935</v>
      </c>
      <c r="C583" s="1176">
        <v>74</v>
      </c>
      <c r="D583" s="1176">
        <v>-33</v>
      </c>
      <c r="E583" s="1176">
        <v>-30.841121495327101</v>
      </c>
      <c r="F583" s="1176">
        <v>0.70130832859555303</v>
      </c>
    </row>
    <row r="584" spans="1:6" ht="21.6" x14ac:dyDescent="0.3">
      <c r="A584" s="1177" t="s">
        <v>383</v>
      </c>
      <c r="B584" s="1795" t="s">
        <v>936</v>
      </c>
      <c r="C584" s="1178">
        <v>476</v>
      </c>
      <c r="D584" s="1178">
        <v>-48</v>
      </c>
      <c r="E584" s="1178">
        <v>-9.1603053435114496</v>
      </c>
      <c r="F584" s="1178">
        <v>4.5111184379930203</v>
      </c>
    </row>
    <row r="585" spans="1:6" x14ac:dyDescent="0.3">
      <c r="A585" s="1179" t="s">
        <v>383</v>
      </c>
      <c r="B585" s="1795" t="s">
        <v>405</v>
      </c>
      <c r="C585" s="1180">
        <v>457</v>
      </c>
      <c r="D585" s="1180">
        <v>-194</v>
      </c>
      <c r="E585" s="1180">
        <v>-29.800307219662098</v>
      </c>
      <c r="F585" s="1180">
        <v>4.3310527860563202</v>
      </c>
    </row>
    <row r="586" spans="1:6" x14ac:dyDescent="0.3">
      <c r="A586" s="1181" t="s">
        <v>383</v>
      </c>
      <c r="B586" s="1795" t="s">
        <v>406</v>
      </c>
      <c r="C586" s="1182">
        <v>32</v>
      </c>
      <c r="D586" s="1182">
        <v>-42</v>
      </c>
      <c r="E586" s="1182">
        <v>-56.756756756756801</v>
      </c>
      <c r="F586" s="1182">
        <v>0.30326846641969901</v>
      </c>
    </row>
    <row r="587" spans="1:6" x14ac:dyDescent="0.3">
      <c r="A587" s="1183" t="s">
        <v>383</v>
      </c>
      <c r="B587" s="1795" t="s">
        <v>407</v>
      </c>
      <c r="C587" s="1184">
        <v>425</v>
      </c>
      <c r="D587" s="1184">
        <v>-152</v>
      </c>
      <c r="E587" s="1184">
        <v>-26.3431542461005</v>
      </c>
      <c r="F587" s="1184">
        <v>4.0277843196366199</v>
      </c>
    </row>
    <row r="588" spans="1:6" x14ac:dyDescent="0.3">
      <c r="A588" s="1185" t="s">
        <v>408</v>
      </c>
      <c r="B588" s="1795" t="s">
        <v>409</v>
      </c>
      <c r="C588" s="1186">
        <v>15486</v>
      </c>
      <c r="D588" s="1186">
        <v>-1335</v>
      </c>
      <c r="E588" s="1186">
        <v>-7.9365079365079403</v>
      </c>
      <c r="F588" s="1186">
        <v>146.76298346798299</v>
      </c>
    </row>
    <row r="589" spans="1:6" x14ac:dyDescent="0.3">
      <c r="A589" s="1187" t="s">
        <v>410</v>
      </c>
      <c r="B589" s="19" t="s">
        <v>411</v>
      </c>
      <c r="C589" s="1188">
        <v>229742</v>
      </c>
      <c r="D589" s="1188">
        <v>-7950</v>
      </c>
      <c r="E589" s="1188">
        <v>-3.3446645238375701</v>
      </c>
      <c r="F589" s="1188">
        <v>2177.2970003810801</v>
      </c>
    </row>
    <row r="590" spans="1:6" x14ac:dyDescent="0.3">
      <c r="A590" s="1189" t="s">
        <v>412</v>
      </c>
      <c r="B590" s="1795" t="s">
        <v>413</v>
      </c>
      <c r="C590" s="1190">
        <v>213840</v>
      </c>
      <c r="D590" s="1190">
        <v>-7861</v>
      </c>
      <c r="E590" s="1190">
        <v>-3.5457665955498601</v>
      </c>
      <c r="F590" s="1190">
        <v>2026.5915268496401</v>
      </c>
    </row>
    <row r="591" spans="1:6" x14ac:dyDescent="0.3">
      <c r="A591" s="1191" t="s">
        <v>412</v>
      </c>
      <c r="B591" s="1795" t="s">
        <v>414</v>
      </c>
      <c r="C591" s="1192">
        <v>48120</v>
      </c>
      <c r="D591" s="1192">
        <v>654</v>
      </c>
      <c r="E591" s="1192">
        <v>1.3778283402856799</v>
      </c>
      <c r="F591" s="1192">
        <v>456.03995637862198</v>
      </c>
    </row>
    <row r="592" spans="1:6" x14ac:dyDescent="0.3">
      <c r="A592" s="1193" t="s">
        <v>412</v>
      </c>
      <c r="B592" s="1795" t="s">
        <v>415</v>
      </c>
      <c r="C592" s="1194">
        <v>1403</v>
      </c>
      <c r="D592" s="1194">
        <v>90</v>
      </c>
      <c r="E592" s="1194">
        <v>6.8545316070068498</v>
      </c>
      <c r="F592" s="1194">
        <v>13.2964268245887</v>
      </c>
    </row>
    <row r="593" spans="1:6" x14ac:dyDescent="0.3">
      <c r="A593" s="1195" t="s">
        <v>412</v>
      </c>
      <c r="B593" s="1795" t="s">
        <v>416</v>
      </c>
      <c r="C593" s="1196">
        <v>655</v>
      </c>
      <c r="D593" s="1196">
        <v>127</v>
      </c>
      <c r="E593" s="1196">
        <v>24.053030303030301</v>
      </c>
      <c r="F593" s="1196">
        <v>6.2075264220282103</v>
      </c>
    </row>
    <row r="594" spans="1:6" x14ac:dyDescent="0.3">
      <c r="A594" s="1197" t="s">
        <v>412</v>
      </c>
      <c r="B594" s="1795" t="s">
        <v>417</v>
      </c>
      <c r="C594" s="1198">
        <v>748</v>
      </c>
      <c r="D594" s="1198">
        <v>-37</v>
      </c>
      <c r="E594" s="1198">
        <v>-4.7133757961783402</v>
      </c>
      <c r="F594" s="1198">
        <v>7.0889004025604603</v>
      </c>
    </row>
    <row r="595" spans="1:6" x14ac:dyDescent="0.3">
      <c r="A595" s="1199" t="s">
        <v>412</v>
      </c>
      <c r="B595" s="1795" t="s">
        <v>418</v>
      </c>
      <c r="C595" s="1200">
        <v>3286</v>
      </c>
      <c r="D595" s="1200">
        <v>-670</v>
      </c>
      <c r="E595" s="1200">
        <v>-16.9362992922144</v>
      </c>
      <c r="F595" s="1200">
        <v>31.141880645472799</v>
      </c>
    </row>
    <row r="596" spans="1:6" x14ac:dyDescent="0.3">
      <c r="A596" s="1201" t="s">
        <v>412</v>
      </c>
      <c r="B596" s="1795" t="s">
        <v>419</v>
      </c>
      <c r="C596" s="1202">
        <v>1170</v>
      </c>
      <c r="D596" s="1202">
        <v>3</v>
      </c>
      <c r="E596" s="1202">
        <v>0.25706940874035999</v>
      </c>
      <c r="F596" s="1202">
        <v>11.0882533034702</v>
      </c>
    </row>
    <row r="597" spans="1:6" x14ac:dyDescent="0.3">
      <c r="A597" s="1203" t="s">
        <v>412</v>
      </c>
      <c r="B597" s="1795" t="s">
        <v>420</v>
      </c>
      <c r="C597" s="1204">
        <v>2116</v>
      </c>
      <c r="D597" s="1204">
        <v>-673</v>
      </c>
      <c r="E597" s="1204">
        <v>-24.130512728576601</v>
      </c>
      <c r="F597" s="1204">
        <v>20.053627342002599</v>
      </c>
    </row>
    <row r="598" spans="1:6" x14ac:dyDescent="0.3">
      <c r="A598" s="1205" t="s">
        <v>412</v>
      </c>
      <c r="B598" s="1795" t="s">
        <v>421</v>
      </c>
      <c r="C598" s="1206">
        <v>13803</v>
      </c>
      <c r="D598" s="1206">
        <v>1492</v>
      </c>
      <c r="E598" s="1206">
        <v>12.1192429534563</v>
      </c>
      <c r="F598" s="1206">
        <v>130.81295756222201</v>
      </c>
    </row>
    <row r="599" spans="1:6" x14ac:dyDescent="0.3">
      <c r="A599" s="1207" t="s">
        <v>412</v>
      </c>
      <c r="B599" s="1795" t="s">
        <v>422</v>
      </c>
      <c r="C599" s="1208">
        <v>8776</v>
      </c>
      <c r="D599" s="1208">
        <v>516</v>
      </c>
      <c r="E599" s="1208">
        <v>6.2469733656174302</v>
      </c>
      <c r="F599" s="1208">
        <v>83.171376915602394</v>
      </c>
    </row>
    <row r="600" spans="1:6" x14ac:dyDescent="0.3">
      <c r="A600" s="1209" t="s">
        <v>412</v>
      </c>
      <c r="B600" s="1795" t="s">
        <v>423</v>
      </c>
      <c r="C600" s="1210">
        <v>5027</v>
      </c>
      <c r="D600" s="1210">
        <v>976</v>
      </c>
      <c r="E600" s="1210">
        <v>24.092816588496699</v>
      </c>
      <c r="F600" s="1210">
        <v>47.641580646619502</v>
      </c>
    </row>
    <row r="601" spans="1:6" x14ac:dyDescent="0.3">
      <c r="A601" s="1211" t="s">
        <v>412</v>
      </c>
      <c r="B601" s="1795" t="s">
        <v>424</v>
      </c>
      <c r="C601" s="1212">
        <v>29628</v>
      </c>
      <c r="D601" s="1212">
        <v>-258</v>
      </c>
      <c r="E601" s="1212">
        <v>-0.86328046576992601</v>
      </c>
      <c r="F601" s="1212">
        <v>280.78869134633902</v>
      </c>
    </row>
    <row r="602" spans="1:6" x14ac:dyDescent="0.3">
      <c r="A602" s="1213" t="s">
        <v>412</v>
      </c>
      <c r="B602" s="1795" t="s">
        <v>425</v>
      </c>
      <c r="C602" s="1214">
        <v>16188</v>
      </c>
      <c r="D602" s="1214">
        <v>-508</v>
      </c>
      <c r="E602" s="1214">
        <v>-3.0426449448969799</v>
      </c>
      <c r="F602" s="1214">
        <v>153.41593545006501</v>
      </c>
    </row>
    <row r="603" spans="1:6" x14ac:dyDescent="0.3">
      <c r="A603" s="1215" t="s">
        <v>412</v>
      </c>
      <c r="B603" s="1795" t="s">
        <v>426</v>
      </c>
      <c r="C603" s="1216">
        <v>13440</v>
      </c>
      <c r="D603" s="1216">
        <v>250</v>
      </c>
      <c r="E603" s="1216">
        <v>1.8953752843062901</v>
      </c>
      <c r="F603" s="1216">
        <v>127.37275589627301</v>
      </c>
    </row>
    <row r="604" spans="1:6" x14ac:dyDescent="0.3">
      <c r="A604" s="1217" t="s">
        <v>412</v>
      </c>
      <c r="B604" s="1795" t="s">
        <v>427</v>
      </c>
      <c r="C604" s="1218">
        <v>9849</v>
      </c>
      <c r="D604" s="1218">
        <v>-741</v>
      </c>
      <c r="E604" s="1218">
        <v>-6.9971671388101999</v>
      </c>
      <c r="F604" s="1218">
        <v>93.340347680237898</v>
      </c>
    </row>
    <row r="605" spans="1:6" x14ac:dyDescent="0.3">
      <c r="A605" s="1219" t="s">
        <v>412</v>
      </c>
      <c r="B605" s="1795" t="s">
        <v>428</v>
      </c>
      <c r="C605" s="1220">
        <v>2030</v>
      </c>
      <c r="D605" s="1220">
        <v>94</v>
      </c>
      <c r="E605" s="1220">
        <v>4.8553719008264498</v>
      </c>
      <c r="F605" s="1220">
        <v>19.238593338499602</v>
      </c>
    </row>
    <row r="606" spans="1:6" x14ac:dyDescent="0.3">
      <c r="A606" s="1221" t="s">
        <v>412</v>
      </c>
      <c r="B606" s="1795" t="s">
        <v>429</v>
      </c>
      <c r="C606" s="1222">
        <v>7819</v>
      </c>
      <c r="D606" s="1222">
        <v>-835</v>
      </c>
      <c r="E606" s="1222">
        <v>-9.6487173561358901</v>
      </c>
      <c r="F606" s="1222">
        <v>74.1017543417383</v>
      </c>
    </row>
    <row r="607" spans="1:6" x14ac:dyDescent="0.3">
      <c r="A607" s="1223" t="s">
        <v>412</v>
      </c>
      <c r="B607" s="1795" t="s">
        <v>430</v>
      </c>
      <c r="C607" s="1224">
        <v>9985</v>
      </c>
      <c r="D607" s="1224">
        <v>1880</v>
      </c>
      <c r="E607" s="1224">
        <v>23.195558297347301</v>
      </c>
      <c r="F607" s="1224">
        <v>94.629238662521601</v>
      </c>
    </row>
    <row r="608" spans="1:6" x14ac:dyDescent="0.3">
      <c r="A608" s="1225" t="s">
        <v>412</v>
      </c>
      <c r="B608" s="1795" t="s">
        <v>431</v>
      </c>
      <c r="C608" s="1226">
        <v>2939</v>
      </c>
      <c r="D608" s="1226">
        <v>835</v>
      </c>
      <c r="E608" s="1226">
        <v>39.686311787072199</v>
      </c>
      <c r="F608" s="1226">
        <v>27.8533132127342</v>
      </c>
    </row>
    <row r="609" spans="1:6" x14ac:dyDescent="0.3">
      <c r="A609" s="1227" t="s">
        <v>412</v>
      </c>
      <c r="B609" s="1795" t="s">
        <v>432</v>
      </c>
      <c r="C609" s="1228">
        <v>7046</v>
      </c>
      <c r="D609" s="1228">
        <v>1045</v>
      </c>
      <c r="E609" s="1228">
        <v>17.4137643726046</v>
      </c>
      <c r="F609" s="1228">
        <v>66.775925449787394</v>
      </c>
    </row>
    <row r="610" spans="1:6" x14ac:dyDescent="0.3">
      <c r="A610" s="1229" t="s">
        <v>412</v>
      </c>
      <c r="B610" s="1795" t="s">
        <v>433</v>
      </c>
      <c r="C610" s="1230">
        <v>97258</v>
      </c>
      <c r="D610" s="1230">
        <v>-5751</v>
      </c>
      <c r="E610" s="1230">
        <v>-5.5830073100408697</v>
      </c>
      <c r="F610" s="1230">
        <v>921.727640845221</v>
      </c>
    </row>
    <row r="611" spans="1:6" x14ac:dyDescent="0.3">
      <c r="A611" s="1231" t="s">
        <v>412</v>
      </c>
      <c r="B611" s="1795" t="s">
        <v>434</v>
      </c>
      <c r="C611" s="1232">
        <v>11813</v>
      </c>
      <c r="D611" s="1232">
        <v>-2347</v>
      </c>
      <c r="E611" s="1232">
        <v>-16.574858757062099</v>
      </c>
      <c r="F611" s="1232">
        <v>111.953449806747</v>
      </c>
    </row>
    <row r="612" spans="1:6" x14ac:dyDescent="0.3">
      <c r="A612" s="1233" t="s">
        <v>412</v>
      </c>
      <c r="B612" s="1795" t="s">
        <v>435</v>
      </c>
      <c r="C612" s="1234">
        <v>2618</v>
      </c>
      <c r="D612" s="1234">
        <v>-369</v>
      </c>
      <c r="E612" s="1234">
        <v>-12.3535319718781</v>
      </c>
      <c r="F612" s="1234">
        <v>24.811151408961599</v>
      </c>
    </row>
    <row r="613" spans="1:6" x14ac:dyDescent="0.3">
      <c r="A613" s="1235" t="s">
        <v>412</v>
      </c>
      <c r="B613" s="1795" t="s">
        <v>436</v>
      </c>
      <c r="C613" s="1236">
        <v>9195</v>
      </c>
      <c r="D613" s="1236">
        <v>-1978</v>
      </c>
      <c r="E613" s="1236">
        <v>-17.703392105969701</v>
      </c>
      <c r="F613" s="1236">
        <v>87.142298397785297</v>
      </c>
    </row>
    <row r="614" spans="1:6" x14ac:dyDescent="0.3">
      <c r="A614" s="1237" t="s">
        <v>412</v>
      </c>
      <c r="B614" s="1795" t="s">
        <v>437</v>
      </c>
      <c r="C614" s="1238">
        <v>85445</v>
      </c>
      <c r="D614" s="1238">
        <v>-3404</v>
      </c>
      <c r="E614" s="1238">
        <v>-3.8312192596427601</v>
      </c>
      <c r="F614" s="1238">
        <v>809.77419103847399</v>
      </c>
    </row>
    <row r="615" spans="1:6" x14ac:dyDescent="0.3">
      <c r="A615" s="1239" t="s">
        <v>412</v>
      </c>
      <c r="B615" s="1795" t="s">
        <v>438</v>
      </c>
      <c r="C615" s="1240">
        <v>24608</v>
      </c>
      <c r="D615" s="1240">
        <v>-2465</v>
      </c>
      <c r="E615" s="1240">
        <v>-9.1050123739519098</v>
      </c>
      <c r="F615" s="1240">
        <v>233.21345067674801</v>
      </c>
    </row>
    <row r="616" spans="1:6" x14ac:dyDescent="0.3">
      <c r="A616" s="1241" t="s">
        <v>412</v>
      </c>
      <c r="B616" s="1795" t="s">
        <v>439</v>
      </c>
      <c r="C616" s="1242">
        <v>1779</v>
      </c>
      <c r="D616" s="1242">
        <v>266</v>
      </c>
      <c r="E616" s="1242">
        <v>17.580964970257799</v>
      </c>
      <c r="F616" s="1242">
        <v>16.859831305020101</v>
      </c>
    </row>
    <row r="617" spans="1:6" x14ac:dyDescent="0.3">
      <c r="A617" s="1243" t="s">
        <v>412</v>
      </c>
      <c r="B617" s="1795" t="s">
        <v>440</v>
      </c>
      <c r="C617" s="1244">
        <v>22829</v>
      </c>
      <c r="D617" s="1244">
        <v>-2731</v>
      </c>
      <c r="E617" s="1244">
        <v>-10.684663536776201</v>
      </c>
      <c r="F617" s="1244">
        <v>216.353619371728</v>
      </c>
    </row>
    <row r="618" spans="1:6" x14ac:dyDescent="0.3">
      <c r="A618" s="1245" t="s">
        <v>412</v>
      </c>
      <c r="B618" s="1795" t="s">
        <v>441</v>
      </c>
      <c r="C618" s="1246">
        <v>633</v>
      </c>
      <c r="D618" s="1246">
        <v>-32</v>
      </c>
      <c r="E618" s="1246">
        <v>-4.8120300751879697</v>
      </c>
      <c r="F618" s="1246">
        <v>5.99902935136467</v>
      </c>
    </row>
    <row r="619" spans="1:6" x14ac:dyDescent="0.3">
      <c r="A619" s="1247" t="s">
        <v>412</v>
      </c>
      <c r="B619" s="1795" t="s">
        <v>442</v>
      </c>
      <c r="C619" s="1248">
        <v>44</v>
      </c>
      <c r="D619" s="1248" t="s">
        <v>38</v>
      </c>
      <c r="E619" s="1248" t="s">
        <v>38</v>
      </c>
      <c r="F619" s="1248">
        <v>0.41699414132708601</v>
      </c>
    </row>
    <row r="620" spans="1:6" x14ac:dyDescent="0.3">
      <c r="A620" s="1249" t="s">
        <v>412</v>
      </c>
      <c r="B620" s="1795" t="s">
        <v>443</v>
      </c>
      <c r="C620" s="1250">
        <v>6</v>
      </c>
      <c r="D620" s="1250" t="s">
        <v>38</v>
      </c>
      <c r="E620" s="1250" t="s">
        <v>38</v>
      </c>
      <c r="F620" s="1250">
        <v>5.6862837453693499E-2</v>
      </c>
    </row>
    <row r="621" spans="1:6" x14ac:dyDescent="0.3">
      <c r="A621" s="1251" t="s">
        <v>444</v>
      </c>
      <c r="B621" s="1795" t="s">
        <v>445</v>
      </c>
      <c r="C621" s="1252">
        <v>578</v>
      </c>
      <c r="D621" s="1252">
        <v>-46</v>
      </c>
      <c r="E621" s="1252">
        <v>-7.3717948717948696</v>
      </c>
      <c r="F621" s="1252">
        <v>5.4777866747058104</v>
      </c>
    </row>
    <row r="622" spans="1:6" x14ac:dyDescent="0.3">
      <c r="A622" s="1253" t="s">
        <v>446</v>
      </c>
      <c r="B622" s="1795" t="s">
        <v>447</v>
      </c>
      <c r="C622" s="1254">
        <v>6</v>
      </c>
      <c r="D622" s="1254">
        <v>-6</v>
      </c>
      <c r="E622" s="1254">
        <v>-50</v>
      </c>
      <c r="F622" s="1254">
        <v>5.6862837453693499E-2</v>
      </c>
    </row>
    <row r="623" spans="1:6" x14ac:dyDescent="0.3">
      <c r="A623" s="1255" t="s">
        <v>412</v>
      </c>
      <c r="B623" s="1795" t="s">
        <v>448</v>
      </c>
      <c r="C623" s="1256">
        <v>22753</v>
      </c>
      <c r="D623" s="1256">
        <v>-1398</v>
      </c>
      <c r="E623" s="1256">
        <v>-5.7885801830151999</v>
      </c>
      <c r="F623" s="1256">
        <v>215.633356763981</v>
      </c>
    </row>
    <row r="624" spans="1:6" x14ac:dyDescent="0.3">
      <c r="A624" s="1257" t="s">
        <v>412</v>
      </c>
      <c r="B624" s="1795" t="s">
        <v>449</v>
      </c>
      <c r="C624" s="1258">
        <v>5904</v>
      </c>
      <c r="D624" s="1258">
        <v>-253</v>
      </c>
      <c r="E624" s="1258">
        <v>-4.1091440636673697</v>
      </c>
      <c r="F624" s="1258">
        <v>55.953032054434402</v>
      </c>
    </row>
    <row r="625" spans="1:6" x14ac:dyDescent="0.3">
      <c r="A625" s="1259" t="s">
        <v>412</v>
      </c>
      <c r="B625" s="1795" t="s">
        <v>450</v>
      </c>
      <c r="C625" s="1260">
        <v>16849</v>
      </c>
      <c r="D625" s="1260">
        <v>-1145</v>
      </c>
      <c r="E625" s="1260">
        <v>-6.36323218850728</v>
      </c>
      <c r="F625" s="1260">
        <v>159.68032470954699</v>
      </c>
    </row>
    <row r="626" spans="1:6" x14ac:dyDescent="0.3">
      <c r="A626" s="1261" t="s">
        <v>451</v>
      </c>
      <c r="B626" s="1795" t="s">
        <v>452</v>
      </c>
      <c r="C626" s="1262">
        <v>0</v>
      </c>
      <c r="D626" s="1262">
        <v>-1</v>
      </c>
      <c r="E626" s="1262">
        <v>-100</v>
      </c>
      <c r="F626" s="1262">
        <v>0</v>
      </c>
    </row>
    <row r="627" spans="1:6" x14ac:dyDescent="0.3">
      <c r="A627" s="1263" t="s">
        <v>453</v>
      </c>
      <c r="B627" s="1795" t="s">
        <v>454</v>
      </c>
      <c r="C627" s="1264">
        <v>395</v>
      </c>
      <c r="D627" s="1264">
        <v>-22</v>
      </c>
      <c r="E627" s="1264">
        <v>-5.2757793764988001</v>
      </c>
      <c r="F627" s="1264">
        <v>3.7434701323681598</v>
      </c>
    </row>
    <row r="628" spans="1:6" x14ac:dyDescent="0.3">
      <c r="A628" s="1265" t="s">
        <v>455</v>
      </c>
      <c r="B628" s="1795" t="s">
        <v>456</v>
      </c>
      <c r="C628" s="1266">
        <v>8707</v>
      </c>
      <c r="D628" s="1266">
        <v>-257</v>
      </c>
      <c r="E628" s="1266">
        <v>-2.8670236501561801</v>
      </c>
      <c r="F628" s="1266">
        <v>82.517454284884906</v>
      </c>
    </row>
    <row r="629" spans="1:6" x14ac:dyDescent="0.3">
      <c r="A629" s="1267" t="s">
        <v>457</v>
      </c>
      <c r="B629" s="1795" t="s">
        <v>458</v>
      </c>
      <c r="C629" s="1268">
        <v>63</v>
      </c>
      <c r="D629" s="1268">
        <v>15</v>
      </c>
      <c r="E629" s="1268">
        <v>31.25</v>
      </c>
      <c r="F629" s="1268">
        <v>0.597059793263782</v>
      </c>
    </row>
    <row r="630" spans="1:6" x14ac:dyDescent="0.3">
      <c r="A630" s="1269" t="s">
        <v>459</v>
      </c>
      <c r="B630" s="1795" t="s">
        <v>460</v>
      </c>
      <c r="C630" s="1270">
        <v>6233</v>
      </c>
      <c r="D630" s="1270">
        <v>148</v>
      </c>
      <c r="E630" s="1270">
        <v>2.4322103533278598</v>
      </c>
      <c r="F630" s="1270">
        <v>59.071010974811898</v>
      </c>
    </row>
    <row r="631" spans="1:6" x14ac:dyDescent="0.3">
      <c r="A631" s="1271" t="s">
        <v>461</v>
      </c>
      <c r="B631" s="1795" t="s">
        <v>462</v>
      </c>
      <c r="C631" s="1272">
        <v>2276</v>
      </c>
      <c r="D631" s="1272">
        <v>108</v>
      </c>
      <c r="E631" s="1272">
        <v>4.9815498154981501</v>
      </c>
      <c r="F631" s="1272">
        <v>21.569969674101099</v>
      </c>
    </row>
    <row r="632" spans="1:6" x14ac:dyDescent="0.3">
      <c r="A632" s="1273" t="s">
        <v>463</v>
      </c>
      <c r="B632" s="1795" t="s">
        <v>464</v>
      </c>
      <c r="C632" s="1274">
        <v>3957</v>
      </c>
      <c r="D632" s="1274">
        <v>40</v>
      </c>
      <c r="E632" s="1274">
        <v>1.02118968598417</v>
      </c>
      <c r="F632" s="1274">
        <v>37.501041300710902</v>
      </c>
    </row>
    <row r="633" spans="1:6" x14ac:dyDescent="0.3">
      <c r="A633" s="1275" t="s">
        <v>465</v>
      </c>
      <c r="B633" s="1795" t="s">
        <v>466</v>
      </c>
      <c r="C633" s="1276">
        <v>504</v>
      </c>
      <c r="D633" s="1276">
        <v>28</v>
      </c>
      <c r="E633" s="1276">
        <v>5.8823529411764701</v>
      </c>
      <c r="F633" s="1276">
        <v>4.7764783461102596</v>
      </c>
    </row>
    <row r="634" spans="1:6" x14ac:dyDescent="0.3">
      <c r="A634" s="1277" t="s">
        <v>467</v>
      </c>
      <c r="B634" s="19" t="s">
        <v>468</v>
      </c>
      <c r="C634" s="1278">
        <v>13550</v>
      </c>
      <c r="D634" s="1278">
        <v>590</v>
      </c>
      <c r="E634" s="1278">
        <v>4.55246913580247</v>
      </c>
      <c r="F634" s="1278">
        <v>128.41524124959099</v>
      </c>
    </row>
    <row r="635" spans="1:6" x14ac:dyDescent="0.3">
      <c r="A635" s="1279" t="s">
        <v>469</v>
      </c>
      <c r="B635" s="1795" t="s">
        <v>470</v>
      </c>
      <c r="C635" s="1280">
        <v>1202</v>
      </c>
      <c r="D635" s="1280">
        <v>-211</v>
      </c>
      <c r="E635" s="1280">
        <v>-14.932767162066501</v>
      </c>
      <c r="F635" s="1280">
        <v>11.3915217698899</v>
      </c>
    </row>
    <row r="636" spans="1:6" x14ac:dyDescent="0.3">
      <c r="A636" s="1281" t="s">
        <v>471</v>
      </c>
      <c r="B636" s="1795" t="s">
        <v>472</v>
      </c>
      <c r="C636" s="1282">
        <v>9593</v>
      </c>
      <c r="D636" s="1282">
        <v>417</v>
      </c>
      <c r="E636" s="1282">
        <v>4.5444638186573698</v>
      </c>
      <c r="F636" s="1282">
        <v>90.914199948880295</v>
      </c>
    </row>
    <row r="637" spans="1:6" x14ac:dyDescent="0.3">
      <c r="A637" s="1283" t="s">
        <v>473</v>
      </c>
      <c r="B637" s="1795" t="s">
        <v>474</v>
      </c>
      <c r="C637" s="1284">
        <v>1254</v>
      </c>
      <c r="D637" s="1284">
        <v>510</v>
      </c>
      <c r="E637" s="1284">
        <v>68.548387096774206</v>
      </c>
      <c r="F637" s="1284">
        <v>11.884333027821899</v>
      </c>
    </row>
    <row r="638" spans="1:6" x14ac:dyDescent="0.3">
      <c r="A638" s="1285" t="s">
        <v>475</v>
      </c>
      <c r="B638" s="1795" t="s">
        <v>476</v>
      </c>
      <c r="C638" s="1286">
        <v>70</v>
      </c>
      <c r="D638" s="1286">
        <v>-40</v>
      </c>
      <c r="E638" s="1286">
        <v>-36.363636363636402</v>
      </c>
      <c r="F638" s="1286">
        <v>0.66339977029309105</v>
      </c>
    </row>
    <row r="639" spans="1:6" x14ac:dyDescent="0.3">
      <c r="A639" s="1287" t="s">
        <v>477</v>
      </c>
      <c r="B639" s="1795" t="s">
        <v>478</v>
      </c>
      <c r="C639" s="1288">
        <v>65</v>
      </c>
      <c r="D639" s="1288">
        <v>-75</v>
      </c>
      <c r="E639" s="1288">
        <v>-53.571428571428598</v>
      </c>
      <c r="F639" s="1288">
        <v>0.61601407241501305</v>
      </c>
    </row>
    <row r="640" spans="1:6" x14ac:dyDescent="0.3">
      <c r="A640" s="1289" t="s">
        <v>479</v>
      </c>
      <c r="B640" s="1795" t="s">
        <v>480</v>
      </c>
      <c r="C640" s="1290">
        <v>9</v>
      </c>
      <c r="D640" s="1290">
        <v>1</v>
      </c>
      <c r="E640" s="1290">
        <v>12.5</v>
      </c>
      <c r="F640" s="1290">
        <v>8.5294256180540304E-2</v>
      </c>
    </row>
    <row r="641" spans="1:6" x14ac:dyDescent="0.3">
      <c r="A641" s="1291" t="s">
        <v>481</v>
      </c>
      <c r="B641" s="1795" t="s">
        <v>482</v>
      </c>
      <c r="C641" s="1292">
        <v>1122</v>
      </c>
      <c r="D641" s="1292">
        <v>-43</v>
      </c>
      <c r="E641" s="1292">
        <v>-3.6909871244635202</v>
      </c>
      <c r="F641" s="1292">
        <v>10.6333506038407</v>
      </c>
    </row>
    <row r="642" spans="1:6" x14ac:dyDescent="0.3">
      <c r="A642" s="1293" t="s">
        <v>483</v>
      </c>
      <c r="B642" s="1795" t="s">
        <v>484</v>
      </c>
      <c r="C642" s="1294">
        <v>152</v>
      </c>
      <c r="D642" s="1294">
        <v>27</v>
      </c>
      <c r="E642" s="1294">
        <v>21.6</v>
      </c>
      <c r="F642" s="1294">
        <v>1.4405252154935699</v>
      </c>
    </row>
    <row r="643" spans="1:6" x14ac:dyDescent="0.3">
      <c r="A643" s="1295" t="s">
        <v>485</v>
      </c>
      <c r="B643" s="1795" t="s">
        <v>486</v>
      </c>
      <c r="C643" s="1296">
        <v>83</v>
      </c>
      <c r="D643" s="1296">
        <v>4</v>
      </c>
      <c r="E643" s="1296">
        <v>5.0632911392405102</v>
      </c>
      <c r="F643" s="1296">
        <v>0.78660258477609402</v>
      </c>
    </row>
    <row r="644" spans="1:6" x14ac:dyDescent="0.3">
      <c r="A644" s="1297" t="s">
        <v>487</v>
      </c>
      <c r="B644" s="19" t="s">
        <v>488</v>
      </c>
      <c r="C644" s="1298">
        <v>21763</v>
      </c>
      <c r="D644" s="1298">
        <v>4900</v>
      </c>
      <c r="E644" s="1298">
        <v>29.057700290576999</v>
      </c>
      <c r="F644" s="1298">
        <v>206.25098858412201</v>
      </c>
    </row>
    <row r="645" spans="1:6" x14ac:dyDescent="0.3">
      <c r="A645" s="1299" t="s">
        <v>489</v>
      </c>
      <c r="B645" s="1795" t="s">
        <v>490</v>
      </c>
      <c r="C645" s="1300">
        <v>492</v>
      </c>
      <c r="D645" s="1300">
        <v>130</v>
      </c>
      <c r="E645" s="1300">
        <v>35.911602209944803</v>
      </c>
      <c r="F645" s="1300">
        <v>4.6627526712028704</v>
      </c>
    </row>
    <row r="646" spans="1:6" x14ac:dyDescent="0.3">
      <c r="A646" s="1301" t="s">
        <v>491</v>
      </c>
      <c r="B646" s="1795" t="s">
        <v>492</v>
      </c>
      <c r="C646" s="1302">
        <v>32</v>
      </c>
      <c r="D646" s="1302">
        <v>15</v>
      </c>
      <c r="E646" s="1302">
        <v>88.235294117647101</v>
      </c>
      <c r="F646" s="1302">
        <v>0.30326846641969901</v>
      </c>
    </row>
    <row r="647" spans="1:6" x14ac:dyDescent="0.3">
      <c r="A647" s="1303" t="s">
        <v>493</v>
      </c>
      <c r="B647" s="1795" t="s">
        <v>494</v>
      </c>
      <c r="C647" s="1304">
        <v>44</v>
      </c>
      <c r="D647" s="1304">
        <v>16</v>
      </c>
      <c r="E647" s="1304">
        <v>57.142857142857103</v>
      </c>
      <c r="F647" s="1304">
        <v>0.41699414132708601</v>
      </c>
    </row>
    <row r="648" spans="1:6" x14ac:dyDescent="0.3">
      <c r="A648" s="1305" t="s">
        <v>495</v>
      </c>
      <c r="B648" s="1795" t="s">
        <v>496</v>
      </c>
      <c r="C648" s="1306">
        <v>64</v>
      </c>
      <c r="D648" s="1306">
        <v>15</v>
      </c>
      <c r="E648" s="1306">
        <v>30.612244897959201</v>
      </c>
      <c r="F648" s="1306">
        <v>0.60653693283939702</v>
      </c>
    </row>
    <row r="649" spans="1:6" x14ac:dyDescent="0.3">
      <c r="A649" s="1307" t="s">
        <v>497</v>
      </c>
      <c r="B649" s="1795" t="s">
        <v>498</v>
      </c>
      <c r="C649" s="1308">
        <v>21131</v>
      </c>
      <c r="D649" s="1308">
        <v>4724</v>
      </c>
      <c r="E649" s="1308">
        <v>28.792588529286299</v>
      </c>
      <c r="F649" s="1308">
        <v>200.26143637233301</v>
      </c>
    </row>
    <row r="650" spans="1:6" x14ac:dyDescent="0.3">
      <c r="A650" s="1309" t="s">
        <v>499</v>
      </c>
      <c r="B650" s="19" t="s">
        <v>500</v>
      </c>
      <c r="C650" s="1310">
        <v>198810</v>
      </c>
      <c r="D650" s="1310">
        <v>-19773</v>
      </c>
      <c r="E650" s="1310">
        <v>-9.0459916827932592</v>
      </c>
      <c r="F650" s="1310">
        <v>1884.1501190281299</v>
      </c>
    </row>
    <row r="651" spans="1:6" x14ac:dyDescent="0.3">
      <c r="A651" s="1311" t="s">
        <v>501</v>
      </c>
      <c r="B651" s="1795" t="s">
        <v>502</v>
      </c>
      <c r="C651" s="1312">
        <v>198775</v>
      </c>
      <c r="D651" s="1312">
        <v>-19782</v>
      </c>
      <c r="E651" s="1312">
        <v>-9.0511857318685696</v>
      </c>
      <c r="F651" s="1312">
        <v>1883.81841914299</v>
      </c>
    </row>
    <row r="652" spans="1:6" x14ac:dyDescent="0.3">
      <c r="A652" s="1313" t="s">
        <v>501</v>
      </c>
      <c r="B652" s="1795" t="s">
        <v>503</v>
      </c>
      <c r="C652" s="1314">
        <v>3910</v>
      </c>
      <c r="D652" s="1314">
        <v>-690</v>
      </c>
      <c r="E652" s="1314">
        <v>-15</v>
      </c>
      <c r="F652" s="1314">
        <v>37.055615740656897</v>
      </c>
    </row>
    <row r="653" spans="1:6" x14ac:dyDescent="0.3">
      <c r="A653" s="1315" t="s">
        <v>501</v>
      </c>
      <c r="B653" s="1795" t="s">
        <v>504</v>
      </c>
      <c r="C653" s="1316">
        <v>1568</v>
      </c>
      <c r="D653" s="1316">
        <v>-245</v>
      </c>
      <c r="E653" s="1316">
        <v>-13.5135135135135</v>
      </c>
      <c r="F653" s="1316">
        <v>14.8601548545652</v>
      </c>
    </row>
    <row r="654" spans="1:6" x14ac:dyDescent="0.3">
      <c r="A654" s="1317" t="s">
        <v>501</v>
      </c>
      <c r="B654" s="1795" t="s">
        <v>505</v>
      </c>
      <c r="C654" s="1318">
        <v>2342</v>
      </c>
      <c r="D654" s="1318">
        <v>-445</v>
      </c>
      <c r="E654" s="1318">
        <v>-15.966989594546099</v>
      </c>
      <c r="F654" s="1318">
        <v>22.195460886091698</v>
      </c>
    </row>
    <row r="655" spans="1:6" x14ac:dyDescent="0.3">
      <c r="A655" s="1319" t="s">
        <v>501</v>
      </c>
      <c r="B655" s="1795" t="s">
        <v>506</v>
      </c>
      <c r="C655" s="1320">
        <v>27188</v>
      </c>
      <c r="D655" s="1320">
        <v>-1208</v>
      </c>
      <c r="E655" s="1320">
        <v>-4.2541202986336097</v>
      </c>
      <c r="F655" s="1320">
        <v>257.664470781837</v>
      </c>
    </row>
    <row r="656" spans="1:6" x14ac:dyDescent="0.3">
      <c r="A656" s="1321" t="s">
        <v>501</v>
      </c>
      <c r="B656" s="1795" t="s">
        <v>507</v>
      </c>
      <c r="C656" s="1322">
        <v>38193</v>
      </c>
      <c r="D656" s="1322">
        <v>3308</v>
      </c>
      <c r="E656" s="1322">
        <v>9.4825856385265901</v>
      </c>
      <c r="F656" s="1322">
        <v>361.96039181148598</v>
      </c>
    </row>
    <row r="657" spans="1:6" x14ac:dyDescent="0.3">
      <c r="A657" s="1323" t="s">
        <v>501</v>
      </c>
      <c r="B657" s="1795" t="s">
        <v>508</v>
      </c>
      <c r="C657" s="1324">
        <v>35077</v>
      </c>
      <c r="D657" s="1324">
        <v>-18744</v>
      </c>
      <c r="E657" s="1324">
        <v>-34.826554690548299</v>
      </c>
      <c r="F657" s="1324">
        <v>332.42962489386798</v>
      </c>
    </row>
    <row r="658" spans="1:6" x14ac:dyDescent="0.3">
      <c r="A658" s="1325" t="s">
        <v>501</v>
      </c>
      <c r="B658" s="1795" t="s">
        <v>509</v>
      </c>
      <c r="C658" s="1326">
        <v>58903</v>
      </c>
      <c r="D658" s="1326">
        <v>1617</v>
      </c>
      <c r="E658" s="1326">
        <v>2.8226791886324798</v>
      </c>
      <c r="F658" s="1326">
        <v>558.23195242248505</v>
      </c>
    </row>
    <row r="659" spans="1:6" x14ac:dyDescent="0.3">
      <c r="A659" s="1327" t="s">
        <v>501</v>
      </c>
      <c r="B659" s="1795" t="s">
        <v>510</v>
      </c>
      <c r="C659" s="1328">
        <v>35504</v>
      </c>
      <c r="D659" s="1328">
        <v>-4065</v>
      </c>
      <c r="E659" s="1328">
        <v>-10.2731936617049</v>
      </c>
      <c r="F659" s="1328">
        <v>336.47636349265599</v>
      </c>
    </row>
    <row r="660" spans="1:6" x14ac:dyDescent="0.3">
      <c r="A660" s="1329" t="s">
        <v>511</v>
      </c>
      <c r="B660" s="1795" t="s">
        <v>512</v>
      </c>
      <c r="C660" s="1330">
        <v>35</v>
      </c>
      <c r="D660" s="1330">
        <v>9</v>
      </c>
      <c r="E660" s="1330">
        <v>34.615384615384599</v>
      </c>
      <c r="F660" s="1330">
        <v>0.33169988514654503</v>
      </c>
    </row>
    <row r="661" spans="1:6" x14ac:dyDescent="0.3">
      <c r="A661" s="1331" t="s">
        <v>513</v>
      </c>
      <c r="B661" s="1794" t="s">
        <v>514</v>
      </c>
      <c r="C661" s="1332">
        <v>16152</v>
      </c>
      <c r="D661" s="1332">
        <v>527</v>
      </c>
      <c r="E661" s="1332">
        <v>3.3727999999999998</v>
      </c>
      <c r="F661" s="1332">
        <v>153.07475842534299</v>
      </c>
    </row>
    <row r="662" spans="1:6" x14ac:dyDescent="0.3">
      <c r="A662" s="1333" t="s">
        <v>515</v>
      </c>
      <c r="B662" s="19" t="s">
        <v>516</v>
      </c>
      <c r="C662" s="1334">
        <v>4232</v>
      </c>
      <c r="D662" s="1334">
        <v>-808</v>
      </c>
      <c r="E662" s="1334">
        <v>-16.031746031746</v>
      </c>
      <c r="F662" s="1334">
        <v>40.107254684005198</v>
      </c>
    </row>
    <row r="663" spans="1:6" x14ac:dyDescent="0.3">
      <c r="A663" s="1335" t="s">
        <v>517</v>
      </c>
      <c r="B663" s="1795" t="s">
        <v>518</v>
      </c>
      <c r="C663" s="1336">
        <v>1065</v>
      </c>
      <c r="D663" s="1336">
        <v>-345</v>
      </c>
      <c r="E663" s="1336">
        <v>-24.468085106383</v>
      </c>
      <c r="F663" s="1336">
        <v>10.093153648030601</v>
      </c>
    </row>
    <row r="664" spans="1:6" x14ac:dyDescent="0.3">
      <c r="A664" s="1337" t="s">
        <v>519</v>
      </c>
      <c r="B664" s="1795" t="s">
        <v>520</v>
      </c>
      <c r="C664" s="1338">
        <v>406</v>
      </c>
      <c r="D664" s="1338">
        <v>-13</v>
      </c>
      <c r="E664" s="1338">
        <v>-3.1026252983293601</v>
      </c>
      <c r="F664" s="1338">
        <v>3.84771866769993</v>
      </c>
    </row>
    <row r="665" spans="1:6" x14ac:dyDescent="0.3">
      <c r="A665" s="1339" t="s">
        <v>519</v>
      </c>
      <c r="B665" s="1795" t="s">
        <v>521</v>
      </c>
      <c r="C665" s="1340">
        <v>368</v>
      </c>
      <c r="D665" s="1340">
        <v>-20</v>
      </c>
      <c r="E665" s="1340">
        <v>-5.1546391752577296</v>
      </c>
      <c r="F665" s="1340">
        <v>3.48758736382654</v>
      </c>
    </row>
    <row r="666" spans="1:6" x14ac:dyDescent="0.3">
      <c r="A666" s="1341" t="s">
        <v>519</v>
      </c>
      <c r="B666" s="1795" t="s">
        <v>522</v>
      </c>
      <c r="C666" s="1342">
        <v>152</v>
      </c>
      <c r="D666" s="1342">
        <v>-4</v>
      </c>
      <c r="E666" s="1342">
        <v>-2.5641025641025599</v>
      </c>
      <c r="F666" s="1342">
        <v>1.4405252154935699</v>
      </c>
    </row>
    <row r="667" spans="1:6" x14ac:dyDescent="0.3">
      <c r="A667" s="1343" t="s">
        <v>519</v>
      </c>
      <c r="B667" s="1795" t="s">
        <v>523</v>
      </c>
      <c r="C667" s="1344">
        <v>216</v>
      </c>
      <c r="D667" s="1344">
        <v>-16</v>
      </c>
      <c r="E667" s="1344">
        <v>-6.8965517241379297</v>
      </c>
      <c r="F667" s="1344">
        <v>2.0470621483329698</v>
      </c>
    </row>
    <row r="668" spans="1:6" x14ac:dyDescent="0.3">
      <c r="A668" s="1345" t="s">
        <v>519</v>
      </c>
      <c r="B668" s="1795" t="s">
        <v>524</v>
      </c>
      <c r="C668" s="1346">
        <v>38</v>
      </c>
      <c r="D668" s="1346">
        <v>7</v>
      </c>
      <c r="E668" s="1346">
        <v>22.580645161290299</v>
      </c>
      <c r="F668" s="1346">
        <v>0.36013130387339198</v>
      </c>
    </row>
    <row r="669" spans="1:6" x14ac:dyDescent="0.3">
      <c r="A669" s="1347" t="s">
        <v>525</v>
      </c>
      <c r="B669" s="1795" t="s">
        <v>526</v>
      </c>
      <c r="C669" s="1348">
        <v>279</v>
      </c>
      <c r="D669" s="1348">
        <v>-78</v>
      </c>
      <c r="E669" s="1348">
        <v>-21.848739495798299</v>
      </c>
      <c r="F669" s="1348">
        <v>2.6441219415967501</v>
      </c>
    </row>
    <row r="670" spans="1:6" x14ac:dyDescent="0.3">
      <c r="A670" s="1349" t="s">
        <v>527</v>
      </c>
      <c r="B670" s="1795" t="s">
        <v>528</v>
      </c>
      <c r="C670" s="1350">
        <v>2099</v>
      </c>
      <c r="D670" s="1350">
        <v>-398</v>
      </c>
      <c r="E670" s="1350">
        <v>-15.9391269523428</v>
      </c>
      <c r="F670" s="1350">
        <v>19.892515969217101</v>
      </c>
    </row>
    <row r="671" spans="1:6" x14ac:dyDescent="0.3">
      <c r="A671" s="1351" t="s">
        <v>527</v>
      </c>
      <c r="B671" s="1795" t="s">
        <v>529</v>
      </c>
      <c r="C671" s="1352">
        <v>1790</v>
      </c>
      <c r="D671" s="1352">
        <v>-356</v>
      </c>
      <c r="E671" s="1352">
        <v>-16.589002795899301</v>
      </c>
      <c r="F671" s="1352">
        <v>16.9640798403519</v>
      </c>
    </row>
    <row r="672" spans="1:6" x14ac:dyDescent="0.3">
      <c r="A672" s="1353" t="s">
        <v>527</v>
      </c>
      <c r="B672" s="1795" t="s">
        <v>530</v>
      </c>
      <c r="C672" s="1354">
        <v>309</v>
      </c>
      <c r="D672" s="1354">
        <v>-42</v>
      </c>
      <c r="E672" s="1354">
        <v>-11.965811965812</v>
      </c>
      <c r="F672" s="1354">
        <v>2.9284361288652199</v>
      </c>
    </row>
    <row r="673" spans="1:6" x14ac:dyDescent="0.3">
      <c r="A673" s="1355" t="s">
        <v>531</v>
      </c>
      <c r="B673" s="1795" t="s">
        <v>937</v>
      </c>
      <c r="C673" s="1356">
        <v>102</v>
      </c>
      <c r="D673" s="1356">
        <v>-21</v>
      </c>
      <c r="E673" s="1356">
        <v>-17.0731707317073</v>
      </c>
      <c r="F673" s="1356">
        <v>0.96666823671279001</v>
      </c>
    </row>
    <row r="674" spans="1:6" x14ac:dyDescent="0.3">
      <c r="A674" s="1357" t="s">
        <v>532</v>
      </c>
      <c r="B674" s="1795" t="s">
        <v>533</v>
      </c>
      <c r="C674" s="1358">
        <v>281</v>
      </c>
      <c r="D674" s="1358">
        <v>47</v>
      </c>
      <c r="E674" s="1358">
        <v>20.085470085470099</v>
      </c>
      <c r="F674" s="1358">
        <v>2.6630762207479801</v>
      </c>
    </row>
    <row r="675" spans="1:6" x14ac:dyDescent="0.3">
      <c r="A675" s="1359" t="s">
        <v>534</v>
      </c>
      <c r="B675" s="19" t="s">
        <v>535</v>
      </c>
      <c r="C675" s="1360">
        <v>6616</v>
      </c>
      <c r="D675" s="1360">
        <v>459</v>
      </c>
      <c r="E675" s="1360">
        <v>7.4549293487087898</v>
      </c>
      <c r="F675" s="1360">
        <v>62.7007554322727</v>
      </c>
    </row>
    <row r="676" spans="1:6" x14ac:dyDescent="0.3">
      <c r="A676" s="1361" t="s">
        <v>536</v>
      </c>
      <c r="B676" s="1795" t="s">
        <v>537</v>
      </c>
      <c r="C676" s="1362">
        <v>4168</v>
      </c>
      <c r="D676" s="1362">
        <v>116</v>
      </c>
      <c r="E676" s="1362">
        <v>2.86278381046397</v>
      </c>
      <c r="F676" s="1362">
        <v>39.500717751165801</v>
      </c>
    </row>
    <row r="677" spans="1:6" x14ac:dyDescent="0.3">
      <c r="A677" s="1363" t="s">
        <v>536</v>
      </c>
      <c r="B677" s="1795" t="s">
        <v>538</v>
      </c>
      <c r="C677" s="1364">
        <v>2</v>
      </c>
      <c r="D677" s="1364">
        <v>-1</v>
      </c>
      <c r="E677" s="1364">
        <v>-33.3333333333333</v>
      </c>
      <c r="F677" s="1364">
        <v>1.8954279151231199E-2</v>
      </c>
    </row>
    <row r="678" spans="1:6" x14ac:dyDescent="0.3">
      <c r="A678" s="1365" t="s">
        <v>536</v>
      </c>
      <c r="B678" s="1795" t="s">
        <v>539</v>
      </c>
      <c r="C678" s="1366">
        <v>848</v>
      </c>
      <c r="D678" s="1366">
        <v>-46</v>
      </c>
      <c r="E678" s="1366">
        <v>-5.1454138702460801</v>
      </c>
      <c r="F678" s="1366">
        <v>8.0366143601220195</v>
      </c>
    </row>
    <row r="679" spans="1:6" x14ac:dyDescent="0.3">
      <c r="A679" s="1367" t="s">
        <v>536</v>
      </c>
      <c r="B679" s="1795" t="s">
        <v>938</v>
      </c>
      <c r="C679" s="1368">
        <v>221</v>
      </c>
      <c r="D679" s="1368">
        <v>-56</v>
      </c>
      <c r="E679" s="1368">
        <v>-20.216606498194899</v>
      </c>
      <c r="F679" s="1368">
        <v>2.0944478462110401</v>
      </c>
    </row>
    <row r="680" spans="1:6" x14ac:dyDescent="0.3">
      <c r="A680" s="1369" t="s">
        <v>536</v>
      </c>
      <c r="B680" s="1795" t="s">
        <v>540</v>
      </c>
      <c r="C680" s="1370">
        <v>627</v>
      </c>
      <c r="D680" s="1370">
        <v>10</v>
      </c>
      <c r="E680" s="1370">
        <v>1.6207455429497599</v>
      </c>
      <c r="F680" s="1370">
        <v>5.9421665139109701</v>
      </c>
    </row>
    <row r="681" spans="1:6" x14ac:dyDescent="0.3">
      <c r="A681" s="1371" t="s">
        <v>536</v>
      </c>
      <c r="B681" s="1795" t="s">
        <v>541</v>
      </c>
      <c r="C681" s="1372">
        <v>3318</v>
      </c>
      <c r="D681" s="1372">
        <v>163</v>
      </c>
      <c r="E681" s="1372">
        <v>5.1664025356576904</v>
      </c>
      <c r="F681" s="1372">
        <v>31.445149111892501</v>
      </c>
    </row>
    <row r="682" spans="1:6" x14ac:dyDescent="0.3">
      <c r="A682" s="1373" t="s">
        <v>542</v>
      </c>
      <c r="B682" s="1795" t="s">
        <v>543</v>
      </c>
      <c r="C682" s="1374">
        <v>32</v>
      </c>
      <c r="D682" s="1374">
        <v>-4</v>
      </c>
      <c r="E682" s="1374">
        <v>-11.1111111111111</v>
      </c>
      <c r="F682" s="1374">
        <v>0.30326846641969901</v>
      </c>
    </row>
    <row r="683" spans="1:6" x14ac:dyDescent="0.3">
      <c r="A683" s="1375" t="s">
        <v>544</v>
      </c>
      <c r="B683" s="1795" t="s">
        <v>545</v>
      </c>
      <c r="C683" s="1376">
        <v>1542</v>
      </c>
      <c r="D683" s="1376">
        <v>408</v>
      </c>
      <c r="E683" s="1376">
        <v>35.978835978836003</v>
      </c>
      <c r="F683" s="1376">
        <v>14.6137492255992</v>
      </c>
    </row>
    <row r="684" spans="1:6" x14ac:dyDescent="0.3">
      <c r="A684" s="1377" t="s">
        <v>546</v>
      </c>
      <c r="B684" s="1795" t="s">
        <v>547</v>
      </c>
      <c r="C684" s="1378">
        <v>874</v>
      </c>
      <c r="D684" s="1378">
        <v>-61</v>
      </c>
      <c r="E684" s="1378">
        <v>-6.5240641711229896</v>
      </c>
      <c r="F684" s="1378">
        <v>8.2830199890880198</v>
      </c>
    </row>
    <row r="685" spans="1:6" x14ac:dyDescent="0.3">
      <c r="A685" s="1379" t="s">
        <v>548</v>
      </c>
      <c r="B685" s="19" t="s">
        <v>549</v>
      </c>
      <c r="C685" s="1380">
        <v>5304</v>
      </c>
      <c r="D685" s="1380">
        <v>876</v>
      </c>
      <c r="E685" s="1380">
        <v>19.783197831978299</v>
      </c>
      <c r="F685" s="1380">
        <v>50.2667483090651</v>
      </c>
    </row>
    <row r="686" spans="1:6" x14ac:dyDescent="0.3">
      <c r="A686" s="1381" t="s">
        <v>550</v>
      </c>
      <c r="B686" s="1795" t="s">
        <v>551</v>
      </c>
      <c r="C686" s="1382">
        <v>273</v>
      </c>
      <c r="D686" s="1382">
        <v>-5</v>
      </c>
      <c r="E686" s="1382">
        <v>-1.7985611510791399</v>
      </c>
      <c r="F686" s="1382">
        <v>2.5872591041430502</v>
      </c>
    </row>
    <row r="687" spans="1:6" x14ac:dyDescent="0.3">
      <c r="A687" s="1383" t="s">
        <v>552</v>
      </c>
      <c r="B687" s="1795" t="s">
        <v>553</v>
      </c>
      <c r="C687" s="1384">
        <v>3024</v>
      </c>
      <c r="D687" s="1384">
        <v>685</v>
      </c>
      <c r="E687" s="1384">
        <v>29.286019666524201</v>
      </c>
      <c r="F687" s="1384">
        <v>28.658870076661501</v>
      </c>
    </row>
    <row r="688" spans="1:6" x14ac:dyDescent="0.3">
      <c r="A688" s="1385" t="s">
        <v>554</v>
      </c>
      <c r="B688" s="1795" t="s">
        <v>939</v>
      </c>
      <c r="C688" s="1386">
        <v>550</v>
      </c>
      <c r="D688" s="1386">
        <v>4</v>
      </c>
      <c r="E688" s="1386">
        <v>0.732600732600733</v>
      </c>
      <c r="F688" s="1386">
        <v>5.2124267665885702</v>
      </c>
    </row>
    <row r="689" spans="1:6" x14ac:dyDescent="0.3">
      <c r="A689" s="1387" t="s">
        <v>555</v>
      </c>
      <c r="B689" s="1795" t="s">
        <v>556</v>
      </c>
      <c r="C689" s="1388">
        <v>1457</v>
      </c>
      <c r="D689" s="1388">
        <v>192</v>
      </c>
      <c r="E689" s="1388">
        <v>15.177865612648199</v>
      </c>
      <c r="F689" s="1388">
        <v>13.8081923616719</v>
      </c>
    </row>
    <row r="690" spans="1:6" x14ac:dyDescent="0.3">
      <c r="A690" s="1389" t="s">
        <v>557</v>
      </c>
      <c r="B690" s="1794" t="s">
        <v>558</v>
      </c>
      <c r="C690" s="1390">
        <v>46361</v>
      </c>
      <c r="D690" s="1390">
        <v>-6298</v>
      </c>
      <c r="E690" s="1390">
        <v>-11.959968856225901</v>
      </c>
      <c r="F690" s="1390">
        <v>439.36966786511402</v>
      </c>
    </row>
    <row r="691" spans="1:6" x14ac:dyDescent="0.3">
      <c r="A691" s="1391" t="s">
        <v>559</v>
      </c>
      <c r="B691" s="19" t="s">
        <v>560</v>
      </c>
      <c r="C691" s="1392">
        <v>10920</v>
      </c>
      <c r="D691" s="1392">
        <v>-8805</v>
      </c>
      <c r="E691" s="1392">
        <v>-44.638783269961998</v>
      </c>
      <c r="F691" s="1392">
        <v>103.490364165722</v>
      </c>
    </row>
    <row r="692" spans="1:6" x14ac:dyDescent="0.3">
      <c r="A692" s="1393" t="s">
        <v>561</v>
      </c>
      <c r="B692" s="1795" t="s">
        <v>562</v>
      </c>
      <c r="C692" s="1394">
        <v>420</v>
      </c>
      <c r="D692" s="1394" t="s">
        <v>38</v>
      </c>
      <c r="E692" s="1394" t="s">
        <v>38</v>
      </c>
      <c r="F692" s="1394">
        <v>3.9803986217585501</v>
      </c>
    </row>
    <row r="693" spans="1:6" x14ac:dyDescent="0.3">
      <c r="A693" s="1395" t="s">
        <v>563</v>
      </c>
      <c r="B693" s="1795" t="s">
        <v>564</v>
      </c>
      <c r="C693" s="1396">
        <v>891</v>
      </c>
      <c r="D693" s="1396">
        <v>180</v>
      </c>
      <c r="E693" s="1396">
        <v>25.3164556962025</v>
      </c>
      <c r="F693" s="1396">
        <v>8.4441313618734899</v>
      </c>
    </row>
    <row r="694" spans="1:6" x14ac:dyDescent="0.3">
      <c r="A694" s="1397" t="s">
        <v>565</v>
      </c>
      <c r="B694" s="1795" t="s">
        <v>566</v>
      </c>
      <c r="C694" s="1398">
        <v>127</v>
      </c>
      <c r="D694" s="1398">
        <v>-11</v>
      </c>
      <c r="E694" s="1398">
        <v>-7.9710144927536204</v>
      </c>
      <c r="F694" s="1398">
        <v>1.2035967261031799</v>
      </c>
    </row>
    <row r="695" spans="1:6" x14ac:dyDescent="0.3">
      <c r="A695" s="1399" t="s">
        <v>567</v>
      </c>
      <c r="B695" s="1795" t="s">
        <v>568</v>
      </c>
      <c r="C695" s="1400">
        <v>995</v>
      </c>
      <c r="D695" s="1400">
        <v>53</v>
      </c>
      <c r="E695" s="1400">
        <v>5.62632696390658</v>
      </c>
      <c r="F695" s="1400">
        <v>9.4297538777375092</v>
      </c>
    </row>
    <row r="696" spans="1:6" x14ac:dyDescent="0.3">
      <c r="A696" s="1401" t="s">
        <v>569</v>
      </c>
      <c r="B696" s="1795" t="s">
        <v>570</v>
      </c>
      <c r="C696" s="1402">
        <v>66</v>
      </c>
      <c r="D696" s="1402">
        <v>3</v>
      </c>
      <c r="E696" s="1402">
        <v>4.7619047619047601</v>
      </c>
      <c r="F696" s="1402">
        <v>0.62549121199062896</v>
      </c>
    </row>
    <row r="697" spans="1:6" x14ac:dyDescent="0.3">
      <c r="A697" s="1403" t="s">
        <v>571</v>
      </c>
      <c r="B697" s="1795" t="s">
        <v>572</v>
      </c>
      <c r="C697" s="1404">
        <v>5969</v>
      </c>
      <c r="D697" s="1404">
        <v>-9827</v>
      </c>
      <c r="E697" s="1404">
        <v>-62.211952393010897</v>
      </c>
      <c r="F697" s="1404">
        <v>56.5690461268494</v>
      </c>
    </row>
    <row r="698" spans="1:6" x14ac:dyDescent="0.3">
      <c r="A698" s="1405" t="s">
        <v>573</v>
      </c>
      <c r="B698" s="1795" t="s">
        <v>574</v>
      </c>
      <c r="C698" s="1406">
        <v>1915</v>
      </c>
      <c r="D698" s="1406">
        <v>355</v>
      </c>
      <c r="E698" s="1406">
        <v>22.756410256410302</v>
      </c>
      <c r="F698" s="1406">
        <v>18.148722287303801</v>
      </c>
    </row>
    <row r="699" spans="1:6" x14ac:dyDescent="0.3">
      <c r="A699" s="1407" t="s">
        <v>575</v>
      </c>
      <c r="B699" s="1795" t="s">
        <v>576</v>
      </c>
      <c r="C699" s="1408">
        <v>537</v>
      </c>
      <c r="D699" s="1408">
        <v>128</v>
      </c>
      <c r="E699" s="1408">
        <v>31.295843520782402</v>
      </c>
      <c r="F699" s="1408">
        <v>5.08922395210557</v>
      </c>
    </row>
    <row r="700" spans="1:6" x14ac:dyDescent="0.3">
      <c r="A700" s="1409" t="s">
        <v>577</v>
      </c>
      <c r="B700" s="19" t="s">
        <v>578</v>
      </c>
      <c r="C700" s="1410">
        <v>24364</v>
      </c>
      <c r="D700" s="1410">
        <v>272</v>
      </c>
      <c r="E700" s="1410">
        <v>1.12900547899718</v>
      </c>
      <c r="F700" s="1410">
        <v>230.90102862029801</v>
      </c>
    </row>
    <row r="701" spans="1:6" x14ac:dyDescent="0.3">
      <c r="A701" s="1411" t="s">
        <v>579</v>
      </c>
      <c r="B701" s="1795" t="s">
        <v>580</v>
      </c>
      <c r="C701" s="1412">
        <v>3605</v>
      </c>
      <c r="D701" s="1412">
        <v>-244</v>
      </c>
      <c r="E701" s="1412">
        <v>-6.3393089114055599</v>
      </c>
      <c r="F701" s="1412">
        <v>34.165088170094201</v>
      </c>
    </row>
    <row r="702" spans="1:6" x14ac:dyDescent="0.3">
      <c r="A702" s="1413" t="s">
        <v>581</v>
      </c>
      <c r="B702" s="1795" t="s">
        <v>582</v>
      </c>
      <c r="C702" s="1414">
        <v>1133</v>
      </c>
      <c r="D702" s="1414">
        <v>-103</v>
      </c>
      <c r="E702" s="1414">
        <v>-8.3333333333333304</v>
      </c>
      <c r="F702" s="1414">
        <v>10.737599139172501</v>
      </c>
    </row>
    <row r="703" spans="1:6" x14ac:dyDescent="0.3">
      <c r="A703" s="1415" t="s">
        <v>581</v>
      </c>
      <c r="B703" s="1795" t="s">
        <v>583</v>
      </c>
      <c r="C703" s="1416">
        <v>1045</v>
      </c>
      <c r="D703" s="1416">
        <v>-194</v>
      </c>
      <c r="E703" s="1416">
        <v>-15.6577885391445</v>
      </c>
      <c r="F703" s="1416">
        <v>9.9036108565182897</v>
      </c>
    </row>
    <row r="704" spans="1:6" x14ac:dyDescent="0.3">
      <c r="A704" s="1417" t="s">
        <v>579</v>
      </c>
      <c r="B704" s="1795" t="s">
        <v>584</v>
      </c>
      <c r="C704" s="1418">
        <v>1427</v>
      </c>
      <c r="D704" s="1418">
        <v>53</v>
      </c>
      <c r="E704" s="1418">
        <v>3.8573508005822399</v>
      </c>
      <c r="F704" s="1418">
        <v>13.5238781744034</v>
      </c>
    </row>
    <row r="705" spans="1:6" x14ac:dyDescent="0.3">
      <c r="A705" s="1419" t="s">
        <v>585</v>
      </c>
      <c r="B705" s="1795" t="s">
        <v>586</v>
      </c>
      <c r="C705" s="1420">
        <v>6250</v>
      </c>
      <c r="D705" s="1420">
        <v>-101</v>
      </c>
      <c r="E705" s="1420">
        <v>-1.5903007400409399</v>
      </c>
      <c r="F705" s="1420">
        <v>59.232122347597397</v>
      </c>
    </row>
    <row r="706" spans="1:6" x14ac:dyDescent="0.3">
      <c r="A706" s="1421" t="s">
        <v>587</v>
      </c>
      <c r="B706" s="1795" t="s">
        <v>588</v>
      </c>
      <c r="C706" s="1422">
        <v>4578</v>
      </c>
      <c r="D706" s="1422">
        <v>-135</v>
      </c>
      <c r="E706" s="1422">
        <v>-2.8644175684277502</v>
      </c>
      <c r="F706" s="1422">
        <v>43.3863449771682</v>
      </c>
    </row>
    <row r="707" spans="1:6" x14ac:dyDescent="0.3">
      <c r="A707" s="1423" t="s">
        <v>589</v>
      </c>
      <c r="B707" s="1795" t="s">
        <v>590</v>
      </c>
      <c r="C707" s="1424">
        <v>4516</v>
      </c>
      <c r="D707" s="1424">
        <v>-75</v>
      </c>
      <c r="E707" s="1424">
        <v>-1.6336310172075801</v>
      </c>
      <c r="F707" s="1424">
        <v>42.798762323479998</v>
      </c>
    </row>
    <row r="708" spans="1:6" x14ac:dyDescent="0.3">
      <c r="A708" s="1425" t="s">
        <v>591</v>
      </c>
      <c r="B708" s="1795" t="s">
        <v>592</v>
      </c>
      <c r="C708" s="1426">
        <v>5415</v>
      </c>
      <c r="D708" s="1426">
        <v>827</v>
      </c>
      <c r="E708" s="1426">
        <v>18.025283347864001</v>
      </c>
      <c r="F708" s="1426">
        <v>51.318710801958403</v>
      </c>
    </row>
    <row r="709" spans="1:6" x14ac:dyDescent="0.3">
      <c r="A709" s="1427" t="s">
        <v>593</v>
      </c>
      <c r="B709" s="19" t="s">
        <v>594</v>
      </c>
      <c r="C709" s="1428">
        <v>3</v>
      </c>
      <c r="D709" s="1428">
        <v>-7</v>
      </c>
      <c r="E709" s="1428">
        <v>-70</v>
      </c>
      <c r="F709" s="1428">
        <v>2.8431418726846801E-2</v>
      </c>
    </row>
    <row r="710" spans="1:6" x14ac:dyDescent="0.3">
      <c r="A710" s="1429" t="s">
        <v>595</v>
      </c>
      <c r="B710" s="19" t="s">
        <v>596</v>
      </c>
      <c r="C710" s="1430">
        <v>9</v>
      </c>
      <c r="D710" s="1430">
        <v>-4</v>
      </c>
      <c r="E710" s="1430">
        <v>-30.769230769230798</v>
      </c>
      <c r="F710" s="1430">
        <v>8.5294256180540304E-2</v>
      </c>
    </row>
    <row r="711" spans="1:6" x14ac:dyDescent="0.3">
      <c r="A711" s="1431" t="s">
        <v>597</v>
      </c>
      <c r="B711" s="19" t="s">
        <v>598</v>
      </c>
      <c r="C711" s="1432">
        <v>11065</v>
      </c>
      <c r="D711" s="1432">
        <v>2246</v>
      </c>
      <c r="E711" s="1432">
        <v>25.467740106588</v>
      </c>
      <c r="F711" s="1432">
        <v>104.86454940418599</v>
      </c>
    </row>
    <row r="712" spans="1:6" x14ac:dyDescent="0.3">
      <c r="A712" s="1433" t="s">
        <v>599</v>
      </c>
      <c r="B712" s="1795" t="s">
        <v>600</v>
      </c>
      <c r="C712" s="1434">
        <v>10617</v>
      </c>
      <c r="D712" s="1434">
        <v>2137</v>
      </c>
      <c r="E712" s="1434">
        <v>25.200471698113201</v>
      </c>
      <c r="F712" s="1434">
        <v>100.618790874311</v>
      </c>
    </row>
    <row r="713" spans="1:6" x14ac:dyDescent="0.3">
      <c r="A713" s="1435" t="s">
        <v>601</v>
      </c>
      <c r="B713" s="1795" t="s">
        <v>602</v>
      </c>
      <c r="C713" s="1436">
        <v>448</v>
      </c>
      <c r="D713" s="1436">
        <v>109</v>
      </c>
      <c r="E713" s="1436">
        <v>32.153392330383497</v>
      </c>
      <c r="F713" s="1436">
        <v>4.2457585298757801</v>
      </c>
    </row>
    <row r="714" spans="1:6" x14ac:dyDescent="0.3">
      <c r="A714" s="1437" t="s">
        <v>603</v>
      </c>
      <c r="B714" s="19" t="s">
        <v>604</v>
      </c>
      <c r="C714" s="1438">
        <v>31</v>
      </c>
      <c r="D714" s="1438">
        <v>17</v>
      </c>
      <c r="E714" s="1438">
        <v>121.428571428571</v>
      </c>
      <c r="F714" s="1438">
        <v>0.29379132684408299</v>
      </c>
    </row>
    <row r="715" spans="1:6" x14ac:dyDescent="0.3">
      <c r="A715" s="1439" t="s">
        <v>605</v>
      </c>
      <c r="B715" s="1794" t="s">
        <v>606</v>
      </c>
      <c r="C715" s="1440">
        <v>295214</v>
      </c>
      <c r="D715" s="1440">
        <v>22804</v>
      </c>
      <c r="E715" s="1440">
        <v>8.3712051686795608</v>
      </c>
      <c r="F715" s="1440">
        <v>2797.7842826757801</v>
      </c>
    </row>
    <row r="716" spans="1:6" x14ac:dyDescent="0.3">
      <c r="A716" s="1441" t="s">
        <v>607</v>
      </c>
      <c r="B716" s="1794" t="s">
        <v>608</v>
      </c>
      <c r="C716" s="1442">
        <v>63392</v>
      </c>
      <c r="D716" s="1442">
        <v>-2011</v>
      </c>
      <c r="E716" s="1442">
        <v>-3.0747825023317001</v>
      </c>
      <c r="F716" s="1442">
        <v>600.77483197742299</v>
      </c>
    </row>
    <row r="717" spans="1:6" x14ac:dyDescent="0.3">
      <c r="A717" s="1443" t="s">
        <v>609</v>
      </c>
      <c r="B717" s="1795" t="s">
        <v>610</v>
      </c>
      <c r="C717" s="1444">
        <v>909</v>
      </c>
      <c r="D717" s="1444">
        <v>-19</v>
      </c>
      <c r="E717" s="1444">
        <v>-2.0474137931034502</v>
      </c>
      <c r="F717" s="1444">
        <v>8.6147198742345701</v>
      </c>
    </row>
    <row r="718" spans="1:6" x14ac:dyDescent="0.3">
      <c r="A718" s="1445" t="s">
        <v>611</v>
      </c>
      <c r="B718" s="1795" t="s">
        <v>612</v>
      </c>
      <c r="C718" s="1446">
        <v>17730</v>
      </c>
      <c r="D718" s="1446">
        <v>-1484</v>
      </c>
      <c r="E718" s="1446">
        <v>-7.7235349224523802</v>
      </c>
      <c r="F718" s="1446">
        <v>168.02968467566399</v>
      </c>
    </row>
    <row r="719" spans="1:6" x14ac:dyDescent="0.3">
      <c r="A719" s="1447" t="s">
        <v>613</v>
      </c>
      <c r="B719" s="1795" t="s">
        <v>614</v>
      </c>
      <c r="C719" s="1448">
        <v>10452</v>
      </c>
      <c r="D719" s="1448">
        <v>-100</v>
      </c>
      <c r="E719" s="1448">
        <v>-0.94768764215314605</v>
      </c>
      <c r="F719" s="1448">
        <v>99.055062844334103</v>
      </c>
    </row>
    <row r="720" spans="1:6" x14ac:dyDescent="0.3">
      <c r="A720" s="1449" t="s">
        <v>615</v>
      </c>
      <c r="B720" s="1795" t="s">
        <v>616</v>
      </c>
      <c r="C720" s="1450">
        <v>12157</v>
      </c>
      <c r="D720" s="1450">
        <v>-447</v>
      </c>
      <c r="E720" s="1450">
        <v>-3.54649317676928</v>
      </c>
      <c r="F720" s="1450">
        <v>115.21358582075899</v>
      </c>
    </row>
    <row r="721" spans="1:6" x14ac:dyDescent="0.3">
      <c r="A721" s="1451" t="s">
        <v>617</v>
      </c>
      <c r="B721" s="1795" t="s">
        <v>618</v>
      </c>
      <c r="C721" s="1452">
        <v>21083</v>
      </c>
      <c r="D721" s="1452">
        <v>40</v>
      </c>
      <c r="E721" s="1452">
        <v>0.19008696478639001</v>
      </c>
      <c r="F721" s="1452">
        <v>199.80653367270301</v>
      </c>
    </row>
    <row r="722" spans="1:6" x14ac:dyDescent="0.3">
      <c r="A722" s="1453" t="s">
        <v>617</v>
      </c>
      <c r="B722" s="1795" t="s">
        <v>619</v>
      </c>
      <c r="C722" s="1454">
        <v>1310</v>
      </c>
      <c r="D722" s="1454">
        <v>-77</v>
      </c>
      <c r="E722" s="1454">
        <v>-5.5515501081470804</v>
      </c>
      <c r="F722" s="1454">
        <v>12.415052844056399</v>
      </c>
    </row>
    <row r="723" spans="1:6" x14ac:dyDescent="0.3">
      <c r="A723" s="1455" t="s">
        <v>617</v>
      </c>
      <c r="B723" s="1795" t="s">
        <v>620</v>
      </c>
      <c r="C723" s="1456">
        <v>19773</v>
      </c>
      <c r="D723" s="1456">
        <v>117</v>
      </c>
      <c r="E723" s="1456">
        <v>0.59523809523809501</v>
      </c>
      <c r="F723" s="1456">
        <v>187.39148082864699</v>
      </c>
    </row>
    <row r="724" spans="1:6" x14ac:dyDescent="0.3">
      <c r="A724" s="1457" t="s">
        <v>621</v>
      </c>
      <c r="B724" s="1795" t="s">
        <v>622</v>
      </c>
      <c r="C724" s="1458">
        <v>1061</v>
      </c>
      <c r="D724" s="1458">
        <v>-1</v>
      </c>
      <c r="E724" s="1458">
        <v>-9.4161958568738199E-2</v>
      </c>
      <c r="F724" s="1458">
        <v>10.0552450897281</v>
      </c>
    </row>
    <row r="725" spans="1:6" x14ac:dyDescent="0.3">
      <c r="A725" s="1459" t="s">
        <v>623</v>
      </c>
      <c r="B725" s="1794" t="s">
        <v>624</v>
      </c>
      <c r="C725" s="1460">
        <v>129595</v>
      </c>
      <c r="D725" s="1460">
        <v>18399</v>
      </c>
      <c r="E725" s="1460">
        <v>16.546458505701601</v>
      </c>
      <c r="F725" s="1460">
        <v>1228.1899033018999</v>
      </c>
    </row>
    <row r="726" spans="1:6" x14ac:dyDescent="0.3">
      <c r="A726" s="1461" t="s">
        <v>625</v>
      </c>
      <c r="B726" s="1795" t="s">
        <v>626</v>
      </c>
      <c r="C726" s="1462">
        <v>7634</v>
      </c>
      <c r="D726" s="1462">
        <v>-1168</v>
      </c>
      <c r="E726" s="1462">
        <v>-13.2697114292206</v>
      </c>
      <c r="F726" s="1462">
        <v>72.348483520249403</v>
      </c>
    </row>
    <row r="727" spans="1:6" x14ac:dyDescent="0.3">
      <c r="A727" s="1463" t="s">
        <v>627</v>
      </c>
      <c r="B727" s="1795" t="s">
        <v>628</v>
      </c>
      <c r="C727" s="1464">
        <v>77473</v>
      </c>
      <c r="D727" s="1464">
        <v>19521</v>
      </c>
      <c r="E727" s="1464">
        <v>33.684773605742699</v>
      </c>
      <c r="F727" s="1464">
        <v>734.22243434166603</v>
      </c>
    </row>
    <row r="728" spans="1:6" x14ac:dyDescent="0.3">
      <c r="A728" s="1465" t="s">
        <v>627</v>
      </c>
      <c r="B728" s="1795" t="s">
        <v>629</v>
      </c>
      <c r="C728" s="1466">
        <v>44125</v>
      </c>
      <c r="D728" s="1466">
        <v>18</v>
      </c>
      <c r="E728" s="1466">
        <v>4.0809848776838097E-2</v>
      </c>
      <c r="F728" s="1466">
        <v>418.17878377403798</v>
      </c>
    </row>
    <row r="729" spans="1:6" x14ac:dyDescent="0.3">
      <c r="A729" s="1467" t="s">
        <v>627</v>
      </c>
      <c r="B729" s="1795" t="s">
        <v>630</v>
      </c>
      <c r="C729" s="1468">
        <v>363</v>
      </c>
      <c r="D729" s="1468">
        <v>28</v>
      </c>
      <c r="E729" s="1468">
        <v>8.3582089552238799</v>
      </c>
      <c r="F729" s="1468">
        <v>3.44020166594846</v>
      </c>
    </row>
    <row r="730" spans="1:6" x14ac:dyDescent="0.3">
      <c r="A730" s="1469" t="s">
        <v>631</v>
      </c>
      <c r="B730" s="1794" t="s">
        <v>632</v>
      </c>
      <c r="C730" s="1470">
        <v>5413</v>
      </c>
      <c r="D730" s="1470">
        <v>941</v>
      </c>
      <c r="E730" s="1470">
        <v>21.042039355992799</v>
      </c>
      <c r="F730" s="1470">
        <v>51.299756522807201</v>
      </c>
    </row>
    <row r="731" spans="1:6" x14ac:dyDescent="0.3">
      <c r="A731" s="1471" t="s">
        <v>633</v>
      </c>
      <c r="B731" s="1795" t="s">
        <v>634</v>
      </c>
      <c r="C731" s="1472">
        <v>1258</v>
      </c>
      <c r="D731" s="1472">
        <v>190</v>
      </c>
      <c r="E731" s="1472">
        <v>17.790262172284599</v>
      </c>
      <c r="F731" s="1472">
        <v>11.9222415861244</v>
      </c>
    </row>
    <row r="732" spans="1:6" x14ac:dyDescent="0.3">
      <c r="A732" s="1473" t="s">
        <v>635</v>
      </c>
      <c r="B732" s="1795" t="s">
        <v>636</v>
      </c>
      <c r="C732" s="1474">
        <v>493</v>
      </c>
      <c r="D732" s="1474">
        <v>19</v>
      </c>
      <c r="E732" s="1474">
        <v>4.0084388185654003</v>
      </c>
      <c r="F732" s="1474">
        <v>4.6722298107784797</v>
      </c>
    </row>
    <row r="733" spans="1:6" x14ac:dyDescent="0.3">
      <c r="A733" s="1475" t="s">
        <v>637</v>
      </c>
      <c r="B733" s="1795" t="s">
        <v>638</v>
      </c>
      <c r="C733" s="1476">
        <v>167</v>
      </c>
      <c r="D733" s="1476">
        <v>-10</v>
      </c>
      <c r="E733" s="1476">
        <v>-5.6497175141242897</v>
      </c>
      <c r="F733" s="1476">
        <v>1.5826823091277999</v>
      </c>
    </row>
    <row r="734" spans="1:6" x14ac:dyDescent="0.3">
      <c r="A734" s="1477" t="s">
        <v>639</v>
      </c>
      <c r="B734" s="1795" t="s">
        <v>640</v>
      </c>
      <c r="C734" s="1478">
        <v>2</v>
      </c>
      <c r="D734" s="1478">
        <v>0</v>
      </c>
      <c r="E734" s="1478">
        <v>0</v>
      </c>
      <c r="F734" s="1478">
        <v>1.8954279151231199E-2</v>
      </c>
    </row>
    <row r="735" spans="1:6" x14ac:dyDescent="0.3">
      <c r="A735" s="1479" t="s">
        <v>641</v>
      </c>
      <c r="B735" s="1795" t="s">
        <v>642</v>
      </c>
      <c r="C735" s="1480">
        <v>342</v>
      </c>
      <c r="D735" s="1480">
        <v>161</v>
      </c>
      <c r="E735" s="1480">
        <v>88.950276243093896</v>
      </c>
      <c r="F735" s="1480">
        <v>3.2411817348605299</v>
      </c>
    </row>
    <row r="736" spans="1:6" x14ac:dyDescent="0.3">
      <c r="A736" s="1481" t="s">
        <v>643</v>
      </c>
      <c r="B736" s="1795" t="s">
        <v>644</v>
      </c>
      <c r="C736" s="1482">
        <v>922</v>
      </c>
      <c r="D736" s="1482">
        <v>56</v>
      </c>
      <c r="E736" s="1482">
        <v>6.4665127020785196</v>
      </c>
      <c r="F736" s="1482">
        <v>8.7379226887175694</v>
      </c>
    </row>
    <row r="737" spans="1:6" x14ac:dyDescent="0.3">
      <c r="A737" s="1483" t="s">
        <v>645</v>
      </c>
      <c r="B737" s="1795" t="s">
        <v>646</v>
      </c>
      <c r="C737" s="1484">
        <v>194</v>
      </c>
      <c r="D737" s="1484">
        <v>109</v>
      </c>
      <c r="E737" s="1484">
        <v>128.23529411764699</v>
      </c>
      <c r="F737" s="1484">
        <v>1.83856507766942</v>
      </c>
    </row>
    <row r="738" spans="1:6" x14ac:dyDescent="0.3">
      <c r="A738" s="1485" t="s">
        <v>647</v>
      </c>
      <c r="B738" s="1795" t="s">
        <v>648</v>
      </c>
      <c r="C738" s="1486">
        <v>84</v>
      </c>
      <c r="D738" s="1486">
        <v>-8</v>
      </c>
      <c r="E738" s="1486">
        <v>-8.6956521739130395</v>
      </c>
      <c r="F738" s="1486">
        <v>0.79607972435170904</v>
      </c>
    </row>
    <row r="739" spans="1:6" x14ac:dyDescent="0.3">
      <c r="A739" s="1487" t="s">
        <v>649</v>
      </c>
      <c r="B739" s="1795" t="s">
        <v>650</v>
      </c>
      <c r="C739" s="1488">
        <v>82</v>
      </c>
      <c r="D739" s="1488">
        <v>5</v>
      </c>
      <c r="E739" s="1488">
        <v>6.4935064935064899</v>
      </c>
      <c r="F739" s="1488">
        <v>0.77712544520047799</v>
      </c>
    </row>
    <row r="740" spans="1:6" x14ac:dyDescent="0.3">
      <c r="A740" s="1489" t="s">
        <v>651</v>
      </c>
      <c r="B740" s="1795" t="s">
        <v>652</v>
      </c>
      <c r="C740" s="1490">
        <v>1791</v>
      </c>
      <c r="D740" s="1490">
        <v>414</v>
      </c>
      <c r="E740" s="1490">
        <v>30.065359477124201</v>
      </c>
      <c r="F740" s="1490">
        <v>16.973556979927501</v>
      </c>
    </row>
    <row r="741" spans="1:6" x14ac:dyDescent="0.3">
      <c r="A741" s="1491" t="s">
        <v>653</v>
      </c>
      <c r="B741" s="1795" t="s">
        <v>654</v>
      </c>
      <c r="C741" s="1492">
        <v>78</v>
      </c>
      <c r="D741" s="1492">
        <v>5</v>
      </c>
      <c r="E741" s="1492">
        <v>6.8493150684931496</v>
      </c>
      <c r="F741" s="1492">
        <v>0.73921688689801601</v>
      </c>
    </row>
    <row r="742" spans="1:6" x14ac:dyDescent="0.3">
      <c r="A742" s="1493" t="s">
        <v>655</v>
      </c>
      <c r="B742" s="1794" t="s">
        <v>656</v>
      </c>
      <c r="C742" s="1494">
        <v>5650</v>
      </c>
      <c r="D742" s="1494">
        <v>-1862</v>
      </c>
      <c r="E742" s="1494">
        <v>-24.787007454739101</v>
      </c>
      <c r="F742" s="1494">
        <v>53.545838602228102</v>
      </c>
    </row>
    <row r="743" spans="1:6" x14ac:dyDescent="0.3">
      <c r="A743" s="1495" t="s">
        <v>657</v>
      </c>
      <c r="B743" s="1795" t="s">
        <v>658</v>
      </c>
      <c r="C743" s="1496">
        <v>2691</v>
      </c>
      <c r="D743" s="1496" t="s">
        <v>38</v>
      </c>
      <c r="E743" s="1496" t="s">
        <v>38</v>
      </c>
      <c r="F743" s="1496">
        <v>25.5029825979815</v>
      </c>
    </row>
    <row r="744" spans="1:6" x14ac:dyDescent="0.3">
      <c r="A744" s="1497" t="s">
        <v>659</v>
      </c>
      <c r="B744" s="1795" t="s">
        <v>660</v>
      </c>
      <c r="C744" s="1498">
        <v>1136</v>
      </c>
      <c r="D744" s="1498" t="s">
        <v>38</v>
      </c>
      <c r="E744" s="1498" t="s">
        <v>38</v>
      </c>
      <c r="F744" s="1498">
        <v>10.766030557899301</v>
      </c>
    </row>
    <row r="745" spans="1:6" x14ac:dyDescent="0.3">
      <c r="A745" s="1499" t="s">
        <v>661</v>
      </c>
      <c r="B745" s="1795" t="s">
        <v>662</v>
      </c>
      <c r="C745" s="1500">
        <v>7</v>
      </c>
      <c r="D745" s="1500">
        <v>-19</v>
      </c>
      <c r="E745" s="1500">
        <v>-73.076923076923094</v>
      </c>
      <c r="F745" s="1500">
        <v>6.6339977029309105E-2</v>
      </c>
    </row>
    <row r="746" spans="1:6" x14ac:dyDescent="0.3">
      <c r="A746" s="1501" t="s">
        <v>663</v>
      </c>
      <c r="B746" s="1795" t="s">
        <v>664</v>
      </c>
      <c r="C746" s="1502">
        <v>233</v>
      </c>
      <c r="D746" s="1502">
        <v>158</v>
      </c>
      <c r="E746" s="1502">
        <v>210.666666666667</v>
      </c>
      <c r="F746" s="1502">
        <v>2.2081735211184301</v>
      </c>
    </row>
    <row r="747" spans="1:6" x14ac:dyDescent="0.3">
      <c r="A747" s="1503" t="s">
        <v>665</v>
      </c>
      <c r="B747" s="1795" t="s">
        <v>666</v>
      </c>
      <c r="C747" s="1504">
        <v>57</v>
      </c>
      <c r="D747" s="1504">
        <v>-26</v>
      </c>
      <c r="E747" s="1504">
        <v>-31.325301204819301</v>
      </c>
      <c r="F747" s="1504">
        <v>0.54019695581008798</v>
      </c>
    </row>
    <row r="748" spans="1:6" x14ac:dyDescent="0.3">
      <c r="A748" s="1505" t="s">
        <v>667</v>
      </c>
      <c r="B748" s="1795" t="s">
        <v>668</v>
      </c>
      <c r="C748" s="1506">
        <v>1526</v>
      </c>
      <c r="D748" s="1506">
        <v>-253</v>
      </c>
      <c r="E748" s="1506">
        <v>-14.221472737493</v>
      </c>
      <c r="F748" s="1506">
        <v>14.462114992389401</v>
      </c>
    </row>
    <row r="749" spans="1:6" x14ac:dyDescent="0.3">
      <c r="A749" s="1507" t="s">
        <v>669</v>
      </c>
      <c r="B749" s="1794" t="s">
        <v>670</v>
      </c>
      <c r="C749" s="1508">
        <v>110</v>
      </c>
      <c r="D749" s="1508">
        <v>41</v>
      </c>
      <c r="E749" s="1508">
        <v>59.420289855072497</v>
      </c>
      <c r="F749" s="1508">
        <v>1.0424853533177101</v>
      </c>
    </row>
    <row r="750" spans="1:6" x14ac:dyDescent="0.3">
      <c r="A750" s="1509" t="s">
        <v>671</v>
      </c>
      <c r="B750" s="1794" t="s">
        <v>672</v>
      </c>
      <c r="C750" s="1510">
        <v>505</v>
      </c>
      <c r="D750" s="1510">
        <v>115</v>
      </c>
      <c r="E750" s="1510">
        <v>29.4871794871795</v>
      </c>
      <c r="F750" s="1510">
        <v>4.7859554856858697</v>
      </c>
    </row>
    <row r="751" spans="1:6" x14ac:dyDescent="0.3">
      <c r="A751" s="1511" t="s">
        <v>673</v>
      </c>
      <c r="B751" s="1795" t="s">
        <v>674</v>
      </c>
      <c r="C751" s="1512">
        <v>12</v>
      </c>
      <c r="D751" s="1512">
        <v>-10</v>
      </c>
      <c r="E751" s="1512">
        <v>-45.454545454545503</v>
      </c>
      <c r="F751" s="1512">
        <v>0.113725674907387</v>
      </c>
    </row>
    <row r="752" spans="1:6" x14ac:dyDescent="0.3">
      <c r="A752" s="1513" t="s">
        <v>675</v>
      </c>
      <c r="B752" s="1795" t="s">
        <v>676</v>
      </c>
      <c r="C752" s="1514">
        <v>175</v>
      </c>
      <c r="D752" s="1514">
        <v>4</v>
      </c>
      <c r="E752" s="1514">
        <v>2.3391812865497101</v>
      </c>
      <c r="F752" s="1514">
        <v>1.6584994257327299</v>
      </c>
    </row>
    <row r="753" spans="1:6" x14ac:dyDescent="0.3">
      <c r="A753" s="1515" t="s">
        <v>677</v>
      </c>
      <c r="B753" s="1795" t="s">
        <v>678</v>
      </c>
      <c r="C753" s="1516">
        <v>307</v>
      </c>
      <c r="D753" s="1516">
        <v>124</v>
      </c>
      <c r="E753" s="1516">
        <v>67.759562841530098</v>
      </c>
      <c r="F753" s="1516">
        <v>2.9094818497139801</v>
      </c>
    </row>
    <row r="754" spans="1:6" x14ac:dyDescent="0.3">
      <c r="A754" s="1517" t="s">
        <v>679</v>
      </c>
      <c r="B754" s="1795" t="s">
        <v>680</v>
      </c>
      <c r="C754" s="1518">
        <v>11</v>
      </c>
      <c r="D754" s="1518">
        <v>-3</v>
      </c>
      <c r="E754" s="1518">
        <v>-21.428571428571399</v>
      </c>
      <c r="F754" s="1518">
        <v>0.104248535331771</v>
      </c>
    </row>
    <row r="755" spans="1:6" x14ac:dyDescent="0.3">
      <c r="A755" s="1519" t="s">
        <v>681</v>
      </c>
      <c r="B755" s="1794" t="s">
        <v>682</v>
      </c>
      <c r="C755" s="1520">
        <v>402</v>
      </c>
      <c r="D755" s="1520">
        <v>167</v>
      </c>
      <c r="E755" s="1520">
        <v>71.063829787233999</v>
      </c>
      <c r="F755" s="1520">
        <v>3.8098101093974699</v>
      </c>
    </row>
    <row r="756" spans="1:6" x14ac:dyDescent="0.3">
      <c r="A756" s="1521" t="s">
        <v>683</v>
      </c>
      <c r="B756" s="1795" t="s">
        <v>684</v>
      </c>
      <c r="C756" s="1522">
        <v>351</v>
      </c>
      <c r="D756" s="1522">
        <v>204</v>
      </c>
      <c r="E756" s="1522">
        <v>138.775510204082</v>
      </c>
      <c r="F756" s="1522">
        <v>3.3264759910410699</v>
      </c>
    </row>
    <row r="757" spans="1:6" x14ac:dyDescent="0.3">
      <c r="A757" s="1523" t="s">
        <v>685</v>
      </c>
      <c r="B757" s="1795" t="s">
        <v>686</v>
      </c>
      <c r="C757" s="1524">
        <v>1</v>
      </c>
      <c r="D757" s="1524">
        <v>-1</v>
      </c>
      <c r="E757" s="1524">
        <v>-50</v>
      </c>
      <c r="F757" s="1524">
        <v>9.4771395756155907E-3</v>
      </c>
    </row>
    <row r="758" spans="1:6" x14ac:dyDescent="0.3">
      <c r="A758" s="1525" t="s">
        <v>687</v>
      </c>
      <c r="B758" s="1795" t="s">
        <v>688</v>
      </c>
      <c r="C758" s="1526">
        <v>50</v>
      </c>
      <c r="D758" s="1526">
        <v>-36</v>
      </c>
      <c r="E758" s="1526">
        <v>-41.860465116279101</v>
      </c>
      <c r="F758" s="1526">
        <v>0.47385697878077898</v>
      </c>
    </row>
    <row r="759" spans="1:6" x14ac:dyDescent="0.3">
      <c r="A759" s="1527" t="s">
        <v>689</v>
      </c>
      <c r="B759" s="1794" t="s">
        <v>690</v>
      </c>
      <c r="C759" s="1528">
        <v>17491</v>
      </c>
      <c r="D759" s="1528">
        <v>80</v>
      </c>
      <c r="E759" s="1528">
        <v>0.45947963930848301</v>
      </c>
      <c r="F759" s="1528">
        <v>165.764648317092</v>
      </c>
    </row>
    <row r="760" spans="1:6" x14ac:dyDescent="0.3">
      <c r="A760" s="1529" t="s">
        <v>691</v>
      </c>
      <c r="B760" s="1795" t="s">
        <v>692</v>
      </c>
      <c r="C760" s="1530">
        <v>15193</v>
      </c>
      <c r="D760" s="1530">
        <v>-222</v>
      </c>
      <c r="E760" s="1530">
        <v>-1.4401556925073</v>
      </c>
      <c r="F760" s="1530">
        <v>143.98618157232801</v>
      </c>
    </row>
    <row r="761" spans="1:6" x14ac:dyDescent="0.3">
      <c r="A761" s="1531" t="s">
        <v>693</v>
      </c>
      <c r="B761" s="1795" t="s">
        <v>694</v>
      </c>
      <c r="C761" s="1532">
        <v>782</v>
      </c>
      <c r="D761" s="1532">
        <v>-73</v>
      </c>
      <c r="E761" s="1532">
        <v>-8.5380116959064303</v>
      </c>
      <c r="F761" s="1532">
        <v>7.4111231481313897</v>
      </c>
    </row>
    <row r="762" spans="1:6" x14ac:dyDescent="0.3">
      <c r="A762" s="1533" t="s">
        <v>695</v>
      </c>
      <c r="B762" s="1795" t="s">
        <v>696</v>
      </c>
      <c r="C762" s="1534">
        <v>258</v>
      </c>
      <c r="D762" s="1534">
        <v>3</v>
      </c>
      <c r="E762" s="1534">
        <v>1.1764705882352899</v>
      </c>
      <c r="F762" s="1534">
        <v>2.4451020105088199</v>
      </c>
    </row>
    <row r="763" spans="1:6" x14ac:dyDescent="0.3">
      <c r="A763" s="1535" t="s">
        <v>697</v>
      </c>
      <c r="B763" s="1795" t="s">
        <v>698</v>
      </c>
      <c r="C763" s="1536">
        <v>1258</v>
      </c>
      <c r="D763" s="1536">
        <v>372</v>
      </c>
      <c r="E763" s="1536">
        <v>41.986455981941297</v>
      </c>
      <c r="F763" s="1536">
        <v>11.9222415861244</v>
      </c>
    </row>
    <row r="764" spans="1:6" x14ac:dyDescent="0.3">
      <c r="A764" s="1537" t="s">
        <v>699</v>
      </c>
      <c r="B764" s="1794" t="s">
        <v>700</v>
      </c>
      <c r="C764" s="1538">
        <v>20597</v>
      </c>
      <c r="D764" s="1538">
        <v>242</v>
      </c>
      <c r="E764" s="1538">
        <v>1.18889707688529</v>
      </c>
      <c r="F764" s="1538">
        <v>195.20064383895399</v>
      </c>
    </row>
    <row r="765" spans="1:6" x14ac:dyDescent="0.3">
      <c r="A765" s="1539" t="s">
        <v>701</v>
      </c>
      <c r="B765" s="1795" t="s">
        <v>702</v>
      </c>
      <c r="C765" s="1540">
        <v>12899</v>
      </c>
      <c r="D765" s="1540">
        <v>-792</v>
      </c>
      <c r="E765" s="1540">
        <v>-5.7848221459352898</v>
      </c>
      <c r="F765" s="1540">
        <v>122.245623385865</v>
      </c>
    </row>
    <row r="766" spans="1:6" x14ac:dyDescent="0.3">
      <c r="A766" s="1541" t="s">
        <v>701</v>
      </c>
      <c r="B766" s="1795" t="s">
        <v>703</v>
      </c>
      <c r="C766" s="1542">
        <v>1174</v>
      </c>
      <c r="D766" s="1542">
        <v>22</v>
      </c>
      <c r="E766" s="1542">
        <v>1.9097222222222201</v>
      </c>
      <c r="F766" s="1542">
        <v>11.126161861772699</v>
      </c>
    </row>
    <row r="767" spans="1:6" x14ac:dyDescent="0.3">
      <c r="A767" s="1543" t="s">
        <v>701</v>
      </c>
      <c r="B767" s="1795" t="s">
        <v>704</v>
      </c>
      <c r="C767" s="1544">
        <v>4261</v>
      </c>
      <c r="D767" s="1544">
        <v>292</v>
      </c>
      <c r="E767" s="1544">
        <v>7.3570168808264</v>
      </c>
      <c r="F767" s="1544">
        <v>40.382091731697997</v>
      </c>
    </row>
    <row r="768" spans="1:6" x14ac:dyDescent="0.3">
      <c r="A768" s="1545" t="s">
        <v>701</v>
      </c>
      <c r="B768" s="1795" t="s">
        <v>705</v>
      </c>
      <c r="C768" s="1546">
        <v>2263</v>
      </c>
      <c r="D768" s="1546">
        <v>720</v>
      </c>
      <c r="E768" s="1546">
        <v>46.662346079066801</v>
      </c>
      <c r="F768" s="1546">
        <v>21.446766859618101</v>
      </c>
    </row>
    <row r="769" spans="1:6" x14ac:dyDescent="0.3">
      <c r="A769" s="1547" t="s">
        <v>706</v>
      </c>
      <c r="B769" s="1794" t="s">
        <v>707</v>
      </c>
      <c r="C769" s="1548">
        <v>6793</v>
      </c>
      <c r="D769" s="1548" t="s">
        <v>38</v>
      </c>
      <c r="E769" s="1548" t="s">
        <v>38</v>
      </c>
      <c r="F769" s="1548">
        <v>64.378209137156702</v>
      </c>
    </row>
    <row r="770" spans="1:6" x14ac:dyDescent="0.3">
      <c r="A770" s="1549" t="s">
        <v>708</v>
      </c>
      <c r="B770" s="1795" t="s">
        <v>709</v>
      </c>
      <c r="C770" s="1550">
        <v>1785</v>
      </c>
      <c r="D770" s="1550" t="s">
        <v>38</v>
      </c>
      <c r="E770" s="1550" t="s">
        <v>38</v>
      </c>
      <c r="F770" s="1550">
        <v>16.916694142473801</v>
      </c>
    </row>
    <row r="771" spans="1:6" x14ac:dyDescent="0.3">
      <c r="A771" s="1551" t="s">
        <v>710</v>
      </c>
      <c r="B771" s="1795" t="s">
        <v>711</v>
      </c>
      <c r="C771" s="1552">
        <v>4140</v>
      </c>
      <c r="D771" s="1552" t="s">
        <v>38</v>
      </c>
      <c r="E771" s="1552" t="s">
        <v>38</v>
      </c>
      <c r="F771" s="1552">
        <v>39.235357843048497</v>
      </c>
    </row>
    <row r="772" spans="1:6" x14ac:dyDescent="0.3">
      <c r="A772" s="1553" t="s">
        <v>712</v>
      </c>
      <c r="B772" s="1795" t="s">
        <v>713</v>
      </c>
      <c r="C772" s="1554">
        <v>409</v>
      </c>
      <c r="D772" s="1554" t="s">
        <v>38</v>
      </c>
      <c r="E772" s="1554" t="s">
        <v>38</v>
      </c>
      <c r="F772" s="1554">
        <v>3.8761500864267702</v>
      </c>
    </row>
    <row r="773" spans="1:6" x14ac:dyDescent="0.3">
      <c r="A773" s="1555" t="s">
        <v>712</v>
      </c>
      <c r="B773" s="1795" t="s">
        <v>714</v>
      </c>
      <c r="C773" s="1556">
        <v>231</v>
      </c>
      <c r="D773" s="1556" t="s">
        <v>38</v>
      </c>
      <c r="E773" s="1556" t="s">
        <v>38</v>
      </c>
      <c r="F773" s="1556">
        <v>2.1892192419672001</v>
      </c>
    </row>
    <row r="774" spans="1:6" x14ac:dyDescent="0.3">
      <c r="A774" s="1557" t="s">
        <v>712</v>
      </c>
      <c r="B774" s="1795" t="s">
        <v>715</v>
      </c>
      <c r="C774" s="1558">
        <v>9</v>
      </c>
      <c r="D774" s="1558" t="s">
        <v>38</v>
      </c>
      <c r="E774" s="1558" t="s">
        <v>38</v>
      </c>
      <c r="F774" s="1558">
        <v>8.5294256180540304E-2</v>
      </c>
    </row>
    <row r="775" spans="1:6" x14ac:dyDescent="0.3">
      <c r="A775" s="1559" t="s">
        <v>712</v>
      </c>
      <c r="B775" s="1795" t="s">
        <v>716</v>
      </c>
      <c r="C775" s="1560">
        <v>7</v>
      </c>
      <c r="D775" s="1560" t="s">
        <v>38</v>
      </c>
      <c r="E775" s="1560" t="s">
        <v>38</v>
      </c>
      <c r="F775" s="1560">
        <v>6.6339977029309105E-2</v>
      </c>
    </row>
    <row r="776" spans="1:6" x14ac:dyDescent="0.3">
      <c r="A776" s="1561" t="s">
        <v>712</v>
      </c>
      <c r="B776" s="1795" t="s">
        <v>717</v>
      </c>
      <c r="C776" s="1562">
        <v>160</v>
      </c>
      <c r="D776" s="1562" t="s">
        <v>38</v>
      </c>
      <c r="E776" s="1562" t="s">
        <v>38</v>
      </c>
      <c r="F776" s="1562">
        <v>1.5163423320984899</v>
      </c>
    </row>
    <row r="777" spans="1:6" x14ac:dyDescent="0.3">
      <c r="A777" s="1563" t="s">
        <v>718</v>
      </c>
      <c r="B777" s="1795" t="s">
        <v>719</v>
      </c>
      <c r="C777" s="1564">
        <v>102</v>
      </c>
      <c r="D777" s="1564" t="s">
        <v>38</v>
      </c>
      <c r="E777" s="1564" t="s">
        <v>38</v>
      </c>
      <c r="F777" s="1564">
        <v>0.96666823671279001</v>
      </c>
    </row>
    <row r="778" spans="1:6" x14ac:dyDescent="0.3">
      <c r="A778" s="1565" t="s">
        <v>720</v>
      </c>
      <c r="B778" s="1795" t="s">
        <v>721</v>
      </c>
      <c r="C778" s="1566">
        <v>269</v>
      </c>
      <c r="D778" s="1566" t="s">
        <v>38</v>
      </c>
      <c r="E778" s="1566" t="s">
        <v>38</v>
      </c>
      <c r="F778" s="1566">
        <v>2.5493505458405901</v>
      </c>
    </row>
    <row r="779" spans="1:6" x14ac:dyDescent="0.3">
      <c r="A779" s="1567" t="s">
        <v>722</v>
      </c>
      <c r="B779" s="1795" t="s">
        <v>723</v>
      </c>
      <c r="C779" s="1568">
        <v>88</v>
      </c>
      <c r="D779" s="1568" t="s">
        <v>38</v>
      </c>
      <c r="E779" s="1568" t="s">
        <v>38</v>
      </c>
      <c r="F779" s="1568">
        <v>0.83398828265417102</v>
      </c>
    </row>
    <row r="780" spans="1:6" ht="21.6" x14ac:dyDescent="0.3">
      <c r="A780" s="1569" t="s">
        <v>724</v>
      </c>
      <c r="B780" s="1794" t="s">
        <v>725</v>
      </c>
      <c r="C780" s="1570">
        <v>127</v>
      </c>
      <c r="D780" s="1570">
        <v>-12</v>
      </c>
      <c r="E780" s="1570">
        <v>-8.6330935251798593</v>
      </c>
      <c r="F780" s="1570">
        <v>1.2035967261031799</v>
      </c>
    </row>
    <row r="781" spans="1:6" x14ac:dyDescent="0.3">
      <c r="A781" s="1571" t="s">
        <v>726</v>
      </c>
      <c r="B781" s="1794" t="s">
        <v>727</v>
      </c>
      <c r="C781" s="1572">
        <v>0</v>
      </c>
      <c r="D781" s="1572">
        <v>0</v>
      </c>
      <c r="E781" s="1572" t="s">
        <v>38</v>
      </c>
      <c r="F781" s="1572">
        <v>0</v>
      </c>
    </row>
    <row r="782" spans="1:6" x14ac:dyDescent="0.3">
      <c r="A782" s="1573" t="s">
        <v>728</v>
      </c>
      <c r="B782" s="1794" t="s">
        <v>729</v>
      </c>
      <c r="C782" s="1574">
        <v>998</v>
      </c>
      <c r="D782" s="1574">
        <v>158</v>
      </c>
      <c r="E782" s="1574">
        <v>18.8095238095238</v>
      </c>
      <c r="F782" s="1574">
        <v>9.4581852964643502</v>
      </c>
    </row>
    <row r="783" spans="1:6" x14ac:dyDescent="0.3">
      <c r="A783" s="1575" t="s">
        <v>730</v>
      </c>
      <c r="B783" s="1795" t="s">
        <v>731</v>
      </c>
      <c r="C783" s="1576">
        <v>44</v>
      </c>
      <c r="D783" s="1576">
        <v>-4</v>
      </c>
      <c r="E783" s="1576">
        <v>-8.3333333333333304</v>
      </c>
      <c r="F783" s="1576">
        <v>0.41699414132708601</v>
      </c>
    </row>
    <row r="784" spans="1:6" ht="21.6" x14ac:dyDescent="0.3">
      <c r="A784" s="1577" t="s">
        <v>732</v>
      </c>
      <c r="B784" s="1795" t="s">
        <v>733</v>
      </c>
      <c r="C784" s="1578">
        <v>88</v>
      </c>
      <c r="D784" s="1578">
        <v>-26</v>
      </c>
      <c r="E784" s="1578">
        <v>-22.807017543859601</v>
      </c>
      <c r="F784" s="1578">
        <v>0.83398828265417102</v>
      </c>
    </row>
    <row r="785" spans="1:6" x14ac:dyDescent="0.3">
      <c r="A785" s="1579" t="s">
        <v>734</v>
      </c>
      <c r="B785" s="1795" t="s">
        <v>735</v>
      </c>
      <c r="C785" s="1580">
        <v>391</v>
      </c>
      <c r="D785" s="1580">
        <v>85</v>
      </c>
      <c r="E785" s="1580">
        <v>27.7777777777778</v>
      </c>
      <c r="F785" s="1580">
        <v>3.70556157406569</v>
      </c>
    </row>
    <row r="786" spans="1:6" x14ac:dyDescent="0.3">
      <c r="A786" s="1581" t="s">
        <v>736</v>
      </c>
      <c r="B786" s="1795" t="s">
        <v>737</v>
      </c>
      <c r="C786" s="1582">
        <v>4</v>
      </c>
      <c r="D786" s="1582">
        <v>-4</v>
      </c>
      <c r="E786" s="1582">
        <v>-50</v>
      </c>
      <c r="F786" s="1582">
        <v>3.79085583024623E-2</v>
      </c>
    </row>
    <row r="787" spans="1:6" x14ac:dyDescent="0.3">
      <c r="A787" s="1583" t="s">
        <v>738</v>
      </c>
      <c r="B787" s="1795" t="s">
        <v>739</v>
      </c>
      <c r="C787" s="1584">
        <v>464</v>
      </c>
      <c r="D787" s="1584">
        <v>116</v>
      </c>
      <c r="E787" s="1584">
        <v>33.3333333333333</v>
      </c>
      <c r="F787" s="1584">
        <v>4.3973927630856302</v>
      </c>
    </row>
    <row r="788" spans="1:6" x14ac:dyDescent="0.3">
      <c r="A788" s="1585" t="s">
        <v>740</v>
      </c>
      <c r="B788" s="1795" t="s">
        <v>741</v>
      </c>
      <c r="C788" s="1586">
        <v>7</v>
      </c>
      <c r="D788" s="1586">
        <v>-9</v>
      </c>
      <c r="E788" s="1586">
        <v>-56.25</v>
      </c>
      <c r="F788" s="1586">
        <v>6.6339977029309105E-2</v>
      </c>
    </row>
    <row r="789" spans="1:6" x14ac:dyDescent="0.3">
      <c r="A789" s="1587" t="s">
        <v>742</v>
      </c>
      <c r="B789" s="1794" t="s">
        <v>743</v>
      </c>
      <c r="C789" s="1588">
        <v>311</v>
      </c>
      <c r="D789" s="1588">
        <v>43</v>
      </c>
      <c r="E789" s="1588">
        <v>16.044776119403</v>
      </c>
      <c r="F789" s="1588">
        <v>2.9473904080164499</v>
      </c>
    </row>
    <row r="790" spans="1:6" x14ac:dyDescent="0.3">
      <c r="A790" s="1589" t="s">
        <v>744</v>
      </c>
      <c r="B790" s="1794" t="s">
        <v>744</v>
      </c>
      <c r="C790" s="1590">
        <v>76</v>
      </c>
      <c r="D790" s="1590">
        <v>26</v>
      </c>
      <c r="E790" s="1590">
        <v>52</v>
      </c>
      <c r="F790" s="1590">
        <v>0.72026260774678497</v>
      </c>
    </row>
    <row r="791" spans="1:6" x14ac:dyDescent="0.3">
      <c r="A791" s="1591" t="s">
        <v>745</v>
      </c>
      <c r="B791" s="1794" t="s">
        <v>746</v>
      </c>
      <c r="C791" s="1592">
        <v>112</v>
      </c>
      <c r="D791" s="1592">
        <v>28</v>
      </c>
      <c r="E791" s="1592">
        <v>33.3333333333333</v>
      </c>
      <c r="F791" s="1592">
        <v>1.0614396324689499</v>
      </c>
    </row>
    <row r="792" spans="1:6" x14ac:dyDescent="0.3">
      <c r="A792" s="1593" t="s">
        <v>747</v>
      </c>
      <c r="B792" s="1794" t="s">
        <v>748</v>
      </c>
      <c r="C792" s="1594">
        <v>752</v>
      </c>
      <c r="D792" s="1594">
        <v>153</v>
      </c>
      <c r="E792" s="1594">
        <v>25.542570951586001</v>
      </c>
      <c r="F792" s="1594">
        <v>7.1268089608629204</v>
      </c>
    </row>
    <row r="793" spans="1:6" x14ac:dyDescent="0.3">
      <c r="A793" s="1595" t="s">
        <v>749</v>
      </c>
      <c r="B793" s="1794" t="s">
        <v>750</v>
      </c>
      <c r="C793" s="1596">
        <v>179</v>
      </c>
      <c r="D793" s="1596">
        <v>93</v>
      </c>
      <c r="E793" s="1596">
        <v>108.139534883721</v>
      </c>
      <c r="F793" s="1596">
        <v>1.69640798403519</v>
      </c>
    </row>
    <row r="794" spans="1:6" x14ac:dyDescent="0.3">
      <c r="A794" s="1597" t="s">
        <v>751</v>
      </c>
      <c r="B794" s="1794" t="s">
        <v>752</v>
      </c>
      <c r="C794" s="1598">
        <v>783</v>
      </c>
      <c r="D794" s="1598">
        <v>751</v>
      </c>
      <c r="E794" s="1598">
        <v>2346.875</v>
      </c>
      <c r="F794" s="1598">
        <v>7.4206002877069999</v>
      </c>
    </row>
    <row r="795" spans="1:6" x14ac:dyDescent="0.3">
      <c r="A795" s="1599" t="s">
        <v>753</v>
      </c>
      <c r="B795" s="1794" t="s">
        <v>754</v>
      </c>
      <c r="C795" s="1600">
        <v>4</v>
      </c>
      <c r="D795" s="1600">
        <v>0</v>
      </c>
      <c r="E795" s="1600">
        <v>0</v>
      </c>
      <c r="F795" s="1600">
        <v>3.79085583024623E-2</v>
      </c>
    </row>
    <row r="796" spans="1:6" x14ac:dyDescent="0.3">
      <c r="A796" s="1601" t="s">
        <v>755</v>
      </c>
      <c r="B796" s="1794" t="s">
        <v>756</v>
      </c>
      <c r="C796" s="1602">
        <v>9623</v>
      </c>
      <c r="D796" s="1602">
        <v>238</v>
      </c>
      <c r="E796" s="1602">
        <v>2.5359616409163599</v>
      </c>
      <c r="F796" s="1602">
        <v>91.198514136148802</v>
      </c>
    </row>
    <row r="797" spans="1:6" x14ac:dyDescent="0.3">
      <c r="A797" s="1603" t="s">
        <v>757</v>
      </c>
      <c r="B797" s="1795" t="s">
        <v>758</v>
      </c>
      <c r="C797" s="1604">
        <v>7817</v>
      </c>
      <c r="D797" s="1604">
        <v>75</v>
      </c>
      <c r="E797" s="1604">
        <v>0.96874192715060703</v>
      </c>
      <c r="F797" s="1604">
        <v>74.082800062586998</v>
      </c>
    </row>
    <row r="798" spans="1:6" x14ac:dyDescent="0.3">
      <c r="A798" s="1605" t="s">
        <v>757</v>
      </c>
      <c r="B798" s="1795" t="s">
        <v>759</v>
      </c>
      <c r="C798" s="1606">
        <v>4146</v>
      </c>
      <c r="D798" s="1606">
        <v>98</v>
      </c>
      <c r="E798" s="1606">
        <v>2.4209486166007901</v>
      </c>
      <c r="F798" s="1606">
        <v>39.292220680502197</v>
      </c>
    </row>
    <row r="799" spans="1:6" x14ac:dyDescent="0.3">
      <c r="A799" s="1607" t="s">
        <v>760</v>
      </c>
      <c r="B799" s="1795" t="s">
        <v>759</v>
      </c>
      <c r="C799" s="1608">
        <v>1444</v>
      </c>
      <c r="D799" s="1608">
        <v>18</v>
      </c>
      <c r="E799" s="1608">
        <v>1.26227208976157</v>
      </c>
      <c r="F799" s="1608">
        <v>13.6849895471889</v>
      </c>
    </row>
    <row r="800" spans="1:6" x14ac:dyDescent="0.3">
      <c r="A800" s="1609" t="s">
        <v>761</v>
      </c>
      <c r="B800" s="1795" t="s">
        <v>759</v>
      </c>
      <c r="C800" s="1610">
        <v>2702</v>
      </c>
      <c r="D800" s="1610">
        <v>80</v>
      </c>
      <c r="E800" s="1610">
        <v>3.0511060259343998</v>
      </c>
      <c r="F800" s="1610">
        <v>25.607231133313299</v>
      </c>
    </row>
    <row r="801" spans="1:6" x14ac:dyDescent="0.3">
      <c r="A801" s="1611" t="s">
        <v>757</v>
      </c>
      <c r="B801" s="1795" t="s">
        <v>762</v>
      </c>
      <c r="C801" s="1612">
        <v>396</v>
      </c>
      <c r="D801" s="1612">
        <v>-44</v>
      </c>
      <c r="E801" s="1612">
        <v>-10</v>
      </c>
      <c r="F801" s="1612">
        <v>3.75294727194377</v>
      </c>
    </row>
    <row r="802" spans="1:6" x14ac:dyDescent="0.3">
      <c r="A802" s="1613" t="s">
        <v>760</v>
      </c>
      <c r="B802" s="1795" t="s">
        <v>762</v>
      </c>
      <c r="C802" s="1614">
        <v>54</v>
      </c>
      <c r="D802" s="1614">
        <v>5</v>
      </c>
      <c r="E802" s="1614">
        <v>10.2040816326531</v>
      </c>
      <c r="F802" s="1614">
        <v>0.51176553708324202</v>
      </c>
    </row>
    <row r="803" spans="1:6" x14ac:dyDescent="0.3">
      <c r="A803" s="1615" t="s">
        <v>761</v>
      </c>
      <c r="B803" s="1795" t="s">
        <v>762</v>
      </c>
      <c r="C803" s="1616">
        <v>342</v>
      </c>
      <c r="D803" s="1616">
        <v>-49</v>
      </c>
      <c r="E803" s="1616">
        <v>-12.5319693094629</v>
      </c>
      <c r="F803" s="1616">
        <v>3.2411817348605299</v>
      </c>
    </row>
    <row r="804" spans="1:6" x14ac:dyDescent="0.3">
      <c r="A804" s="1617" t="s">
        <v>757</v>
      </c>
      <c r="B804" s="1795" t="s">
        <v>763</v>
      </c>
      <c r="C804" s="1618">
        <v>887</v>
      </c>
      <c r="D804" s="1618">
        <v>21</v>
      </c>
      <c r="E804" s="1618">
        <v>2.4249422632794499</v>
      </c>
      <c r="F804" s="1618">
        <v>8.4062228035710191</v>
      </c>
    </row>
    <row r="805" spans="1:6" x14ac:dyDescent="0.3">
      <c r="A805" s="1619" t="s">
        <v>760</v>
      </c>
      <c r="B805" s="1795" t="s">
        <v>764</v>
      </c>
      <c r="C805" s="1620">
        <v>753</v>
      </c>
      <c r="D805" s="1620">
        <v>45</v>
      </c>
      <c r="E805" s="1620">
        <v>6.3559322033898296</v>
      </c>
      <c r="F805" s="1620">
        <v>7.1362861004385403</v>
      </c>
    </row>
    <row r="806" spans="1:6" x14ac:dyDescent="0.3">
      <c r="A806" s="1621" t="s">
        <v>761</v>
      </c>
      <c r="B806" s="1795" t="s">
        <v>764</v>
      </c>
      <c r="C806" s="1622">
        <v>134</v>
      </c>
      <c r="D806" s="1622">
        <v>-24</v>
      </c>
      <c r="E806" s="1622">
        <v>-15.1898734177215</v>
      </c>
      <c r="F806" s="1622">
        <v>1.26993670313249</v>
      </c>
    </row>
    <row r="807" spans="1:6" x14ac:dyDescent="0.3">
      <c r="A807" s="1623" t="s">
        <v>757</v>
      </c>
      <c r="B807" s="1795" t="s">
        <v>765</v>
      </c>
      <c r="C807" s="1624">
        <v>2388</v>
      </c>
      <c r="D807" s="1624">
        <v>0</v>
      </c>
      <c r="E807" s="1624">
        <v>0</v>
      </c>
      <c r="F807" s="1624">
        <v>22.631409306569999</v>
      </c>
    </row>
    <row r="808" spans="1:6" x14ac:dyDescent="0.3">
      <c r="A808" s="1625" t="s">
        <v>760</v>
      </c>
      <c r="B808" s="1795" t="s">
        <v>766</v>
      </c>
      <c r="C808" s="1626">
        <v>1783</v>
      </c>
      <c r="D808" s="1626">
        <v>-79</v>
      </c>
      <c r="E808" s="1626">
        <v>-4.2427497314715401</v>
      </c>
      <c r="F808" s="1626">
        <v>16.897739863322599</v>
      </c>
    </row>
    <row r="809" spans="1:6" x14ac:dyDescent="0.3">
      <c r="A809" s="1627" t="s">
        <v>761</v>
      </c>
      <c r="B809" s="1795" t="s">
        <v>766</v>
      </c>
      <c r="C809" s="1628">
        <v>605</v>
      </c>
      <c r="D809" s="1628">
        <v>79</v>
      </c>
      <c r="E809" s="1628">
        <v>15.019011406844101</v>
      </c>
      <c r="F809" s="1628">
        <v>5.7336694432474298</v>
      </c>
    </row>
    <row r="810" spans="1:6" x14ac:dyDescent="0.3">
      <c r="A810" s="1629" t="s">
        <v>757</v>
      </c>
      <c r="B810" s="1795" t="s">
        <v>767</v>
      </c>
      <c r="C810" s="1630">
        <v>102</v>
      </c>
      <c r="D810" s="1630">
        <v>-16</v>
      </c>
      <c r="E810" s="1630">
        <v>-13.559322033898299</v>
      </c>
      <c r="F810" s="1630">
        <v>0.96666823671279001</v>
      </c>
    </row>
    <row r="811" spans="1:6" x14ac:dyDescent="0.3">
      <c r="A811" s="1631" t="s">
        <v>760</v>
      </c>
      <c r="B811" s="1795" t="s">
        <v>768</v>
      </c>
      <c r="C811" s="1632">
        <v>71</v>
      </c>
      <c r="D811" s="1632">
        <v>-13</v>
      </c>
      <c r="E811" s="1632">
        <v>-15.476190476190499</v>
      </c>
      <c r="F811" s="1632">
        <v>0.67287690986870696</v>
      </c>
    </row>
    <row r="812" spans="1:6" x14ac:dyDescent="0.3">
      <c r="A812" s="1633" t="s">
        <v>761</v>
      </c>
      <c r="B812" s="1795" t="s">
        <v>768</v>
      </c>
      <c r="C812" s="1634">
        <v>31</v>
      </c>
      <c r="D812" s="1634">
        <v>-3</v>
      </c>
      <c r="E812" s="1634">
        <v>-8.8235294117647101</v>
      </c>
      <c r="F812" s="1634">
        <v>0.29379132684408299</v>
      </c>
    </row>
    <row r="813" spans="1:6" x14ac:dyDescent="0.3">
      <c r="A813" s="1635" t="s">
        <v>769</v>
      </c>
      <c r="B813" s="1795" t="s">
        <v>770</v>
      </c>
      <c r="C813" s="1636">
        <v>1704</v>
      </c>
      <c r="D813" s="1636">
        <v>179</v>
      </c>
      <c r="E813" s="1636">
        <v>11.737704918032801</v>
      </c>
      <c r="F813" s="1636">
        <v>16.149045836849002</v>
      </c>
    </row>
    <row r="814" spans="1:6" x14ac:dyDescent="0.3">
      <c r="A814" s="1637" t="s">
        <v>771</v>
      </c>
      <c r="B814" s="1794" t="s">
        <v>772</v>
      </c>
      <c r="C814" s="1638">
        <v>8840</v>
      </c>
      <c r="D814" s="1638">
        <v>-1518</v>
      </c>
      <c r="E814" s="1638">
        <v>-14.6553388685074</v>
      </c>
      <c r="F814" s="1638">
        <v>83.777913848441798</v>
      </c>
    </row>
    <row r="815" spans="1:6" x14ac:dyDescent="0.3">
      <c r="A815" s="1639" t="s">
        <v>773</v>
      </c>
      <c r="B815" s="1794" t="s">
        <v>774</v>
      </c>
      <c r="C815" s="1640">
        <v>374</v>
      </c>
      <c r="D815" s="1640">
        <v>-37</v>
      </c>
      <c r="E815" s="1640">
        <v>-9.0024330900243292</v>
      </c>
      <c r="F815" s="1640">
        <v>3.5444502012802301</v>
      </c>
    </row>
    <row r="816" spans="1:6" x14ac:dyDescent="0.3">
      <c r="A816" s="1641" t="s">
        <v>773</v>
      </c>
      <c r="B816" s="1795" t="s">
        <v>775</v>
      </c>
      <c r="C816" s="1642">
        <v>35</v>
      </c>
      <c r="D816" s="1642">
        <v>-5</v>
      </c>
      <c r="E816" s="1642">
        <v>-12.5</v>
      </c>
      <c r="F816" s="1642">
        <v>0.33169988514654503</v>
      </c>
    </row>
    <row r="817" spans="1:6" x14ac:dyDescent="0.3">
      <c r="A817" s="1643" t="s">
        <v>773</v>
      </c>
      <c r="B817" s="1795" t="s">
        <v>776</v>
      </c>
      <c r="C817" s="1644">
        <v>339</v>
      </c>
      <c r="D817" s="1644">
        <v>-32</v>
      </c>
      <c r="E817" s="1644">
        <v>-8.6253369272237208</v>
      </c>
      <c r="F817" s="1644">
        <v>3.2127503161336799</v>
      </c>
    </row>
    <row r="818" spans="1:6" x14ac:dyDescent="0.3">
      <c r="A818" s="1645" t="s">
        <v>777</v>
      </c>
      <c r="B818" s="1794" t="s">
        <v>778</v>
      </c>
      <c r="C818" s="1646">
        <v>399</v>
      </c>
      <c r="D818" s="1646">
        <v>8</v>
      </c>
      <c r="E818" s="1646">
        <v>2.0460358056265999</v>
      </c>
      <c r="F818" s="1646">
        <v>3.7813786906706199</v>
      </c>
    </row>
    <row r="819" spans="1:6" x14ac:dyDescent="0.3">
      <c r="A819" s="1647" t="s">
        <v>779</v>
      </c>
      <c r="B819" s="1794" t="s">
        <v>780</v>
      </c>
      <c r="C819" s="1648">
        <v>132</v>
      </c>
      <c r="D819" s="1648">
        <v>-33</v>
      </c>
      <c r="E819" s="1648">
        <v>-20</v>
      </c>
      <c r="F819" s="1648">
        <v>1.2509824239812599</v>
      </c>
    </row>
    <row r="820" spans="1:6" x14ac:dyDescent="0.3">
      <c r="A820" s="1649" t="s">
        <v>781</v>
      </c>
      <c r="B820" s="1794" t="s">
        <v>782</v>
      </c>
      <c r="C820" s="1650">
        <v>98</v>
      </c>
      <c r="D820" s="1650">
        <v>-20</v>
      </c>
      <c r="E820" s="1650">
        <v>-16.9491525423729</v>
      </c>
      <c r="F820" s="1650">
        <v>0.92875967841032703</v>
      </c>
    </row>
    <row r="821" spans="1:6" x14ac:dyDescent="0.3">
      <c r="A821" s="1651" t="s">
        <v>783</v>
      </c>
      <c r="B821" s="1794" t="s">
        <v>784</v>
      </c>
      <c r="C821" s="1652">
        <v>1484</v>
      </c>
      <c r="D821" s="1652">
        <v>86</v>
      </c>
      <c r="E821" s="1652">
        <v>6.1516452074392003</v>
      </c>
      <c r="F821" s="1652">
        <v>14.064075130213499</v>
      </c>
    </row>
    <row r="822" spans="1:6" x14ac:dyDescent="0.3">
      <c r="A822" s="1653" t="s">
        <v>785</v>
      </c>
      <c r="B822" s="1795" t="s">
        <v>786</v>
      </c>
      <c r="C822" s="1654">
        <v>75</v>
      </c>
      <c r="D822" s="1654">
        <v>12</v>
      </c>
      <c r="E822" s="1654">
        <v>19.047619047619001</v>
      </c>
      <c r="F822" s="1654">
        <v>0.71078546817116905</v>
      </c>
    </row>
    <row r="823" spans="1:6" ht="21.6" x14ac:dyDescent="0.3">
      <c r="A823" s="1655" t="s">
        <v>787</v>
      </c>
      <c r="B823" s="1795" t="s">
        <v>940</v>
      </c>
      <c r="C823" s="1656">
        <v>1106</v>
      </c>
      <c r="D823" s="1656">
        <v>106</v>
      </c>
      <c r="E823" s="1656">
        <v>10.6</v>
      </c>
      <c r="F823" s="1656">
        <v>10.481716370630799</v>
      </c>
    </row>
    <row r="824" spans="1:6" ht="21.6" x14ac:dyDescent="0.3">
      <c r="A824" s="1657" t="s">
        <v>788</v>
      </c>
      <c r="B824" s="1795" t="s">
        <v>941</v>
      </c>
      <c r="C824" s="1658">
        <v>3</v>
      </c>
      <c r="D824" s="1658">
        <v>-5</v>
      </c>
      <c r="E824" s="1658">
        <v>-62.5</v>
      </c>
      <c r="F824" s="1658">
        <v>2.8431418726846801E-2</v>
      </c>
    </row>
    <row r="825" spans="1:6" x14ac:dyDescent="0.3">
      <c r="A825" s="1659" t="s">
        <v>789</v>
      </c>
      <c r="B825" s="1795" t="s">
        <v>790</v>
      </c>
      <c r="C825" s="1660">
        <v>93</v>
      </c>
      <c r="D825" s="1660">
        <v>-14</v>
      </c>
      <c r="E825" s="1660">
        <v>-13.0841121495327</v>
      </c>
      <c r="F825" s="1660">
        <v>0.88137398053224902</v>
      </c>
    </row>
    <row r="826" spans="1:6" x14ac:dyDescent="0.3">
      <c r="A826" s="1661" t="s">
        <v>791</v>
      </c>
      <c r="B826" s="1795" t="s">
        <v>792</v>
      </c>
      <c r="C826" s="1662">
        <v>8</v>
      </c>
      <c r="D826" s="1662">
        <v>1</v>
      </c>
      <c r="E826" s="1662">
        <v>14.285714285714301</v>
      </c>
      <c r="F826" s="1662">
        <v>7.5817116604924698E-2</v>
      </c>
    </row>
    <row r="827" spans="1:6" x14ac:dyDescent="0.3">
      <c r="A827" s="1663" t="s">
        <v>793</v>
      </c>
      <c r="B827" s="1795" t="s">
        <v>794</v>
      </c>
      <c r="C827" s="1664">
        <v>199</v>
      </c>
      <c r="D827" s="1664">
        <v>-14</v>
      </c>
      <c r="E827" s="1664">
        <v>-6.5727699530516404</v>
      </c>
      <c r="F827" s="1664">
        <v>1.8859507755475</v>
      </c>
    </row>
    <row r="828" spans="1:6" x14ac:dyDescent="0.3">
      <c r="A828" s="1665" t="s">
        <v>795</v>
      </c>
      <c r="B828" s="1794" t="s">
        <v>796</v>
      </c>
      <c r="C828" s="1666">
        <v>3757</v>
      </c>
      <c r="D828" s="1666">
        <v>511</v>
      </c>
      <c r="E828" s="1666">
        <v>15.742452248921801</v>
      </c>
      <c r="F828" s="1666">
        <v>35.605613385587802</v>
      </c>
    </row>
    <row r="829" spans="1:6" x14ac:dyDescent="0.3">
      <c r="A829" s="1667" t="s">
        <v>797</v>
      </c>
      <c r="B829" s="1795" t="s">
        <v>798</v>
      </c>
      <c r="C829" s="1668">
        <v>49</v>
      </c>
      <c r="D829" s="1668">
        <v>46</v>
      </c>
      <c r="E829" s="1668">
        <v>1533.3333333333301</v>
      </c>
      <c r="F829" s="1668">
        <v>0.46437983920516401</v>
      </c>
    </row>
    <row r="830" spans="1:6" x14ac:dyDescent="0.3">
      <c r="A830" s="1669" t="s">
        <v>797</v>
      </c>
      <c r="B830" s="1795" t="s">
        <v>799</v>
      </c>
      <c r="C830" s="1670">
        <v>3476</v>
      </c>
      <c r="D830" s="1670">
        <v>273</v>
      </c>
      <c r="E830" s="1670">
        <v>8.5232594442709999</v>
      </c>
      <c r="F830" s="1670">
        <v>32.942537164839798</v>
      </c>
    </row>
    <row r="831" spans="1:6" x14ac:dyDescent="0.3">
      <c r="A831" s="1671" t="s">
        <v>797</v>
      </c>
      <c r="B831" s="1795" t="s">
        <v>800</v>
      </c>
      <c r="C831" s="1672">
        <v>91</v>
      </c>
      <c r="D831" s="1672">
        <v>-1</v>
      </c>
      <c r="E831" s="1672">
        <v>-1.0869565217391299</v>
      </c>
      <c r="F831" s="1672">
        <v>0.86241970138101798</v>
      </c>
    </row>
    <row r="832" spans="1:6" x14ac:dyDescent="0.3">
      <c r="A832" s="1673" t="s">
        <v>797</v>
      </c>
      <c r="B832" s="1795" t="s">
        <v>24</v>
      </c>
      <c r="C832" s="1674">
        <v>62</v>
      </c>
      <c r="D832" s="1674">
        <v>7</v>
      </c>
      <c r="E832" s="1674">
        <v>12.7272727272727</v>
      </c>
      <c r="F832" s="1674">
        <v>0.58758265368816598</v>
      </c>
    </row>
    <row r="833" spans="1:6" x14ac:dyDescent="0.3">
      <c r="A833" s="1675" t="s">
        <v>797</v>
      </c>
      <c r="B833" s="1795" t="s">
        <v>25</v>
      </c>
      <c r="C833" s="1676">
        <v>29</v>
      </c>
      <c r="D833" s="1676">
        <v>-8</v>
      </c>
      <c r="E833" s="1676">
        <v>-21.6216216216216</v>
      </c>
      <c r="F833" s="1676">
        <v>0.274837047692852</v>
      </c>
    </row>
    <row r="834" spans="1:6" x14ac:dyDescent="0.3">
      <c r="A834" s="1677" t="s">
        <v>797</v>
      </c>
      <c r="B834" s="1795" t="s">
        <v>227</v>
      </c>
      <c r="C834" s="1678">
        <v>2879</v>
      </c>
      <c r="D834" s="1678">
        <v>277</v>
      </c>
      <c r="E834" s="1678">
        <v>10.645657186779401</v>
      </c>
      <c r="F834" s="1678">
        <v>27.2846848381973</v>
      </c>
    </row>
    <row r="835" spans="1:6" x14ac:dyDescent="0.3">
      <c r="A835" s="1679" t="s">
        <v>797</v>
      </c>
      <c r="B835" s="1795" t="s">
        <v>801</v>
      </c>
      <c r="C835" s="1680">
        <v>2227</v>
      </c>
      <c r="D835" s="1680">
        <v>397</v>
      </c>
      <c r="E835" s="1680">
        <v>21.693989071038299</v>
      </c>
      <c r="F835" s="1680">
        <v>21.105589834895898</v>
      </c>
    </row>
    <row r="836" spans="1:6" x14ac:dyDescent="0.3">
      <c r="A836" s="1681" t="s">
        <v>797</v>
      </c>
      <c r="B836" s="1795" t="s">
        <v>802</v>
      </c>
      <c r="C836" s="1682">
        <v>141</v>
      </c>
      <c r="D836" s="1682">
        <v>-104</v>
      </c>
      <c r="E836" s="1682">
        <v>-42.448979591836697</v>
      </c>
      <c r="F836" s="1682">
        <v>1.3362766801618</v>
      </c>
    </row>
    <row r="837" spans="1:6" x14ac:dyDescent="0.3">
      <c r="A837" s="1683" t="s">
        <v>797</v>
      </c>
      <c r="B837" s="1795" t="s">
        <v>803</v>
      </c>
      <c r="C837" s="1684">
        <v>406</v>
      </c>
      <c r="D837" s="1684">
        <v>-17</v>
      </c>
      <c r="E837" s="1684">
        <v>-4.0189125295508301</v>
      </c>
      <c r="F837" s="1684">
        <v>3.84771866769993</v>
      </c>
    </row>
    <row r="838" spans="1:6" x14ac:dyDescent="0.3">
      <c r="A838" s="1685" t="s">
        <v>797</v>
      </c>
      <c r="B838" s="1795" t="s">
        <v>804</v>
      </c>
      <c r="C838" s="1686">
        <v>105</v>
      </c>
      <c r="D838" s="1686">
        <v>1</v>
      </c>
      <c r="E838" s="1686">
        <v>0.96153846153846201</v>
      </c>
      <c r="F838" s="1686">
        <v>0.99509965543963597</v>
      </c>
    </row>
    <row r="839" spans="1:6" x14ac:dyDescent="0.3">
      <c r="A839" s="1687" t="s">
        <v>797</v>
      </c>
      <c r="B839" s="1795" t="s">
        <v>235</v>
      </c>
      <c r="C839" s="1688">
        <v>506</v>
      </c>
      <c r="D839" s="1688">
        <v>-3</v>
      </c>
      <c r="E839" s="1688">
        <v>-0.58939096267190605</v>
      </c>
      <c r="F839" s="1688">
        <v>4.7954326252614896</v>
      </c>
    </row>
    <row r="840" spans="1:6" x14ac:dyDescent="0.3">
      <c r="A840" s="1689" t="s">
        <v>797</v>
      </c>
      <c r="B840" s="1795" t="s">
        <v>801</v>
      </c>
      <c r="C840" s="1690">
        <v>163</v>
      </c>
      <c r="D840" s="1690">
        <v>29</v>
      </c>
      <c r="E840" s="1690">
        <v>21.641791044776099</v>
      </c>
      <c r="F840" s="1690">
        <v>1.5447737508253401</v>
      </c>
    </row>
    <row r="841" spans="1:6" x14ac:dyDescent="0.3">
      <c r="A841" s="1691" t="s">
        <v>797</v>
      </c>
      <c r="B841" s="1795" t="s">
        <v>802</v>
      </c>
      <c r="C841" s="1692">
        <v>75</v>
      </c>
      <c r="D841" s="1692">
        <v>-128</v>
      </c>
      <c r="E841" s="1692">
        <v>-63.054187192118199</v>
      </c>
      <c r="F841" s="1692">
        <v>0.71078546817116905</v>
      </c>
    </row>
    <row r="842" spans="1:6" x14ac:dyDescent="0.3">
      <c r="A842" s="1693" t="s">
        <v>797</v>
      </c>
      <c r="B842" s="1795" t="s">
        <v>803</v>
      </c>
      <c r="C842" s="1694">
        <v>193</v>
      </c>
      <c r="D842" s="1694">
        <v>61</v>
      </c>
      <c r="E842" s="1694">
        <v>46.212121212121197</v>
      </c>
      <c r="F842" s="1694">
        <v>1.8290879380938101</v>
      </c>
    </row>
    <row r="843" spans="1:6" x14ac:dyDescent="0.3">
      <c r="A843" s="1695" t="s">
        <v>797</v>
      </c>
      <c r="B843" s="1795" t="s">
        <v>804</v>
      </c>
      <c r="C843" s="1696">
        <v>75</v>
      </c>
      <c r="D843" s="1696">
        <v>35</v>
      </c>
      <c r="E843" s="1696">
        <v>87.5</v>
      </c>
      <c r="F843" s="1696">
        <v>0.71078546817116905</v>
      </c>
    </row>
    <row r="844" spans="1:6" x14ac:dyDescent="0.3">
      <c r="A844" s="1697" t="s">
        <v>805</v>
      </c>
      <c r="B844" s="1795" t="s">
        <v>806</v>
      </c>
      <c r="C844" s="1698">
        <v>232</v>
      </c>
      <c r="D844" s="1698">
        <v>192</v>
      </c>
      <c r="E844" s="1698">
        <v>480</v>
      </c>
      <c r="F844" s="1698">
        <v>2.19869638154282</v>
      </c>
    </row>
    <row r="845" spans="1:6" x14ac:dyDescent="0.3">
      <c r="A845" s="1699" t="s">
        <v>807</v>
      </c>
      <c r="B845" s="1794" t="s">
        <v>808</v>
      </c>
      <c r="C845" s="1700">
        <v>10</v>
      </c>
      <c r="D845" s="1700">
        <v>0</v>
      </c>
      <c r="E845" s="1700">
        <v>0</v>
      </c>
      <c r="F845" s="1700">
        <v>9.4771395756155896E-2</v>
      </c>
    </row>
    <row r="846" spans="1:6" x14ac:dyDescent="0.3">
      <c r="A846" s="1701" t="s">
        <v>809</v>
      </c>
      <c r="B846" s="1794" t="s">
        <v>810</v>
      </c>
      <c r="C846" s="1702">
        <v>58</v>
      </c>
      <c r="D846" s="1702">
        <v>-32</v>
      </c>
      <c r="E846" s="1702">
        <v>-35.5555555555556</v>
      </c>
      <c r="F846" s="1702">
        <v>0.549674095385704</v>
      </c>
    </row>
    <row r="847" spans="1:6" x14ac:dyDescent="0.3">
      <c r="A847" s="1703" t="s">
        <v>811</v>
      </c>
      <c r="B847" s="1794" t="s">
        <v>812</v>
      </c>
      <c r="C847" s="1704">
        <v>31</v>
      </c>
      <c r="D847" s="1704">
        <v>3</v>
      </c>
      <c r="E847" s="1704">
        <v>10.714285714285699</v>
      </c>
      <c r="F847" s="1704">
        <v>0.29379132684408299</v>
      </c>
    </row>
    <row r="848" spans="1:6" x14ac:dyDescent="0.3">
      <c r="A848" s="1705" t="s">
        <v>813</v>
      </c>
      <c r="B848" s="1795" t="s">
        <v>814</v>
      </c>
      <c r="C848" s="1706">
        <v>26</v>
      </c>
      <c r="D848" s="1706">
        <v>12</v>
      </c>
      <c r="E848" s="1706">
        <v>85.714285714285694</v>
      </c>
      <c r="F848" s="1706">
        <v>0.24640562896600501</v>
      </c>
    </row>
    <row r="849" spans="1:6" x14ac:dyDescent="0.3">
      <c r="A849" s="1707" t="s">
        <v>815</v>
      </c>
      <c r="B849" s="1795" t="s">
        <v>816</v>
      </c>
      <c r="C849" s="1708">
        <v>3</v>
      </c>
      <c r="D849" s="1708">
        <v>-1</v>
      </c>
      <c r="E849" s="1708">
        <v>-25</v>
      </c>
      <c r="F849" s="1708">
        <v>2.8431418726846801E-2</v>
      </c>
    </row>
    <row r="850" spans="1:6" x14ac:dyDescent="0.3">
      <c r="A850" s="1709" t="s">
        <v>817</v>
      </c>
      <c r="B850" s="1795" t="s">
        <v>818</v>
      </c>
      <c r="C850" s="1710">
        <v>2</v>
      </c>
      <c r="D850" s="1710">
        <v>-8</v>
      </c>
      <c r="E850" s="1710">
        <v>-80</v>
      </c>
      <c r="F850" s="1710">
        <v>1.8954279151231199E-2</v>
      </c>
    </row>
    <row r="851" spans="1:6" x14ac:dyDescent="0.3">
      <c r="A851" s="1711" t="s">
        <v>819</v>
      </c>
      <c r="B851" s="1794" t="s">
        <v>820</v>
      </c>
      <c r="C851" s="1712">
        <v>2470</v>
      </c>
      <c r="D851" s="1712">
        <v>221</v>
      </c>
      <c r="E851" s="1712">
        <v>9.8265895953757205</v>
      </c>
      <c r="F851" s="1712">
        <v>23.4085347517705</v>
      </c>
    </row>
    <row r="852" spans="1:6" x14ac:dyDescent="0.3">
      <c r="A852" s="1713" t="s">
        <v>821</v>
      </c>
      <c r="B852" s="1795" t="s">
        <v>822</v>
      </c>
      <c r="C852" s="1714">
        <v>535</v>
      </c>
      <c r="D852" s="1714">
        <v>94</v>
      </c>
      <c r="E852" s="1714">
        <v>21.3151927437642</v>
      </c>
      <c r="F852" s="1714">
        <v>5.0702696729543399</v>
      </c>
    </row>
    <row r="853" spans="1:6" x14ac:dyDescent="0.3">
      <c r="A853" s="1715" t="s">
        <v>823</v>
      </c>
      <c r="B853" s="1795" t="s">
        <v>824</v>
      </c>
      <c r="C853" s="1716">
        <v>1408</v>
      </c>
      <c r="D853" s="1716">
        <v>108</v>
      </c>
      <c r="E853" s="1716">
        <v>8.3076923076923102</v>
      </c>
      <c r="F853" s="1716">
        <v>13.343812522466701</v>
      </c>
    </row>
    <row r="854" spans="1:6" x14ac:dyDescent="0.3">
      <c r="A854" s="1717" t="s">
        <v>825</v>
      </c>
      <c r="B854" s="1795" t="s">
        <v>629</v>
      </c>
      <c r="C854" s="1718">
        <v>518</v>
      </c>
      <c r="D854" s="1718">
        <v>16</v>
      </c>
      <c r="E854" s="1718">
        <v>3.1872509960159401</v>
      </c>
      <c r="F854" s="1718">
        <v>4.9091583001688699</v>
      </c>
    </row>
    <row r="855" spans="1:6" x14ac:dyDescent="0.3">
      <c r="A855" s="1719" t="s">
        <v>826</v>
      </c>
      <c r="B855" s="1795" t="s">
        <v>630</v>
      </c>
      <c r="C855" s="1720">
        <v>9</v>
      </c>
      <c r="D855" s="1720">
        <v>3</v>
      </c>
      <c r="E855" s="1720">
        <v>50</v>
      </c>
      <c r="F855" s="1720">
        <v>8.5294256180540304E-2</v>
      </c>
    </row>
    <row r="856" spans="1:6" x14ac:dyDescent="0.3">
      <c r="A856" s="1721" t="s">
        <v>827</v>
      </c>
      <c r="B856" s="1794" t="s">
        <v>828</v>
      </c>
      <c r="C856" s="1722">
        <v>7217</v>
      </c>
      <c r="D856" s="1722">
        <v>2168</v>
      </c>
      <c r="E856" s="1722">
        <v>42.939195880372402</v>
      </c>
      <c r="F856" s="1722">
        <v>68.396516317217703</v>
      </c>
    </row>
    <row r="857" spans="1:6" x14ac:dyDescent="0.3">
      <c r="A857" s="1723" t="s">
        <v>829</v>
      </c>
      <c r="B857" s="1794" t="s">
        <v>829</v>
      </c>
      <c r="C857" s="1724">
        <v>170</v>
      </c>
      <c r="D857" s="1724">
        <v>15</v>
      </c>
      <c r="E857" s="1724">
        <v>9.67741935483871</v>
      </c>
      <c r="F857" s="1724">
        <v>1.6111137278546499</v>
      </c>
    </row>
    <row r="858" spans="1:6" x14ac:dyDescent="0.3">
      <c r="A858" s="1725" t="s">
        <v>830</v>
      </c>
      <c r="B858" s="1794" t="s">
        <v>831</v>
      </c>
      <c r="C858" s="1726">
        <v>319</v>
      </c>
      <c r="D858" s="1726">
        <v>21</v>
      </c>
      <c r="E858" s="1726">
        <v>7.0469798657718101</v>
      </c>
      <c r="F858" s="1726">
        <v>3.0232075246213701</v>
      </c>
    </row>
    <row r="859" spans="1:6" x14ac:dyDescent="0.3">
      <c r="A859" s="1727" t="s">
        <v>832</v>
      </c>
      <c r="B859" s="1795" t="s">
        <v>833</v>
      </c>
      <c r="C859" s="1728">
        <v>181</v>
      </c>
      <c r="D859" s="1728">
        <v>4</v>
      </c>
      <c r="E859" s="1728">
        <v>2.2598870056497198</v>
      </c>
      <c r="F859" s="1728">
        <v>1.71536226318642</v>
      </c>
    </row>
    <row r="860" spans="1:6" x14ac:dyDescent="0.3">
      <c r="A860" s="1729" t="s">
        <v>834</v>
      </c>
      <c r="B860" s="1795" t="s">
        <v>835</v>
      </c>
      <c r="C860" s="1730">
        <v>138</v>
      </c>
      <c r="D860" s="1730">
        <v>17</v>
      </c>
      <c r="E860" s="1730">
        <v>14.049586776859501</v>
      </c>
      <c r="F860" s="1730">
        <v>1.3078452614349501</v>
      </c>
    </row>
    <row r="861" spans="1:6" x14ac:dyDescent="0.3">
      <c r="A861" s="1731" t="s">
        <v>836</v>
      </c>
      <c r="B861" s="1794" t="s">
        <v>942</v>
      </c>
      <c r="C861" s="1732">
        <v>62</v>
      </c>
      <c r="D861" s="1732">
        <v>-13</v>
      </c>
      <c r="E861" s="1732">
        <v>-17.3333333333333</v>
      </c>
      <c r="F861" s="1732">
        <v>0.58758265368816598</v>
      </c>
    </row>
    <row r="862" spans="1:6" x14ac:dyDescent="0.3">
      <c r="A862" s="1733" t="s">
        <v>837</v>
      </c>
      <c r="B862" s="1795" t="s">
        <v>838</v>
      </c>
      <c r="C862" s="1734">
        <v>14</v>
      </c>
      <c r="D862" s="1734">
        <v>1</v>
      </c>
      <c r="E862" s="1734">
        <v>7.6923076923076898</v>
      </c>
      <c r="F862" s="1734">
        <v>0.13267995405861799</v>
      </c>
    </row>
    <row r="863" spans="1:6" x14ac:dyDescent="0.3">
      <c r="A863" s="1735" t="s">
        <v>839</v>
      </c>
      <c r="B863" s="1795" t="s">
        <v>840</v>
      </c>
      <c r="C863" s="1736">
        <v>23</v>
      </c>
      <c r="D863" s="1736">
        <v>6</v>
      </c>
      <c r="E863" s="1736">
        <v>35.294117647058798</v>
      </c>
      <c r="F863" s="1736">
        <v>0.217974210239158</v>
      </c>
    </row>
    <row r="864" spans="1:6" x14ac:dyDescent="0.3">
      <c r="A864" s="1737" t="s">
        <v>841</v>
      </c>
      <c r="B864" s="1795" t="s">
        <v>842</v>
      </c>
      <c r="C864" s="1738">
        <v>18</v>
      </c>
      <c r="D864" s="1738">
        <v>-14</v>
      </c>
      <c r="E864" s="1738">
        <v>-43.75</v>
      </c>
      <c r="F864" s="1738">
        <v>0.170588512361081</v>
      </c>
    </row>
    <row r="865" spans="1:6" x14ac:dyDescent="0.3">
      <c r="A865" s="1739" t="s">
        <v>843</v>
      </c>
      <c r="B865" s="1795" t="s">
        <v>302</v>
      </c>
      <c r="C865" s="1740">
        <v>7</v>
      </c>
      <c r="D865" s="1740">
        <v>-6</v>
      </c>
      <c r="E865" s="1740">
        <v>-46.153846153846203</v>
      </c>
      <c r="F865" s="1740">
        <v>6.6339977029309105E-2</v>
      </c>
    </row>
    <row r="866" spans="1:6" x14ac:dyDescent="0.3">
      <c r="A866" s="1741" t="s">
        <v>844</v>
      </c>
      <c r="B866" s="1794" t="s">
        <v>845</v>
      </c>
      <c r="C866" s="1742">
        <v>26</v>
      </c>
      <c r="D866" s="1742">
        <v>-35</v>
      </c>
      <c r="E866" s="1742">
        <v>-57.377049180327901</v>
      </c>
      <c r="F866" s="1742">
        <v>0.24640562896600501</v>
      </c>
    </row>
    <row r="867" spans="1:6" x14ac:dyDescent="0.3">
      <c r="A867" s="1743" t="s">
        <v>846</v>
      </c>
      <c r="B867" s="1794" t="s">
        <v>847</v>
      </c>
      <c r="C867" s="1744">
        <v>23</v>
      </c>
      <c r="D867" s="1744">
        <v>-8</v>
      </c>
      <c r="E867" s="1744">
        <v>-25.806451612903199</v>
      </c>
      <c r="F867" s="1744">
        <v>0.217974210239158</v>
      </c>
    </row>
    <row r="868" spans="1:6" x14ac:dyDescent="0.3">
      <c r="A868" s="1745" t="s">
        <v>848</v>
      </c>
      <c r="B868" s="1794" t="s">
        <v>849</v>
      </c>
      <c r="C868" s="1746">
        <v>864</v>
      </c>
      <c r="D868" s="1746">
        <v>282</v>
      </c>
      <c r="E868" s="1746">
        <v>48.4536082474227</v>
      </c>
      <c r="F868" s="1746">
        <v>8.1882485933318705</v>
      </c>
    </row>
    <row r="869" spans="1:6" x14ac:dyDescent="0.3">
      <c r="A869" s="1747" t="s">
        <v>850</v>
      </c>
      <c r="B869" s="1794" t="s">
        <v>851</v>
      </c>
      <c r="C869" s="1748">
        <v>12</v>
      </c>
      <c r="D869" s="1748">
        <v>11</v>
      </c>
      <c r="E869" s="1748">
        <v>1100</v>
      </c>
      <c r="F869" s="1748">
        <v>0.113725674907387</v>
      </c>
    </row>
    <row r="870" spans="1:6" x14ac:dyDescent="0.3">
      <c r="A870" s="1749" t="s">
        <v>852</v>
      </c>
      <c r="B870" s="1794" t="s">
        <v>853</v>
      </c>
      <c r="C870" s="1750">
        <v>3282</v>
      </c>
      <c r="D870" s="1750">
        <v>1355</v>
      </c>
      <c r="E870" s="1750">
        <v>70.316554229372102</v>
      </c>
      <c r="F870" s="1750">
        <v>31.103972087170401</v>
      </c>
    </row>
    <row r="871" spans="1:6" ht="21.6" x14ac:dyDescent="0.3">
      <c r="A871" s="1751" t="s">
        <v>854</v>
      </c>
      <c r="B871" s="1794" t="s">
        <v>855</v>
      </c>
      <c r="C871" s="1752">
        <v>97</v>
      </c>
      <c r="D871" s="1752">
        <v>8</v>
      </c>
      <c r="E871" s="1752">
        <v>8.9887640449438209</v>
      </c>
      <c r="F871" s="1752">
        <v>0.919282538834712</v>
      </c>
    </row>
    <row r="872" spans="1:6" ht="31.8" x14ac:dyDescent="0.3">
      <c r="A872" s="1753" t="s">
        <v>856</v>
      </c>
      <c r="B872" s="1794" t="s">
        <v>857</v>
      </c>
      <c r="C872" s="1754">
        <v>147</v>
      </c>
      <c r="D872" s="1754">
        <v>34</v>
      </c>
      <c r="E872" s="1754">
        <v>30.088495575221199</v>
      </c>
      <c r="F872" s="1754">
        <v>1.3931395176154899</v>
      </c>
    </row>
    <row r="873" spans="1:6" x14ac:dyDescent="0.3">
      <c r="A873" s="1755" t="s">
        <v>858</v>
      </c>
      <c r="B873" s="1794" t="s">
        <v>858</v>
      </c>
      <c r="C873" s="1756">
        <v>2429</v>
      </c>
      <c r="D873" s="1756">
        <v>297</v>
      </c>
      <c r="E873" s="1756">
        <v>13.9305816135084</v>
      </c>
      <c r="F873" s="1756">
        <v>23.019972029170301</v>
      </c>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0A65-23EE-4D8F-B197-8D306530CF39}">
  <dimension ref="A1:L100"/>
  <sheetViews>
    <sheetView topLeftCell="A13" workbookViewId="0">
      <selection activeCell="E2" sqref="E2:G11"/>
    </sheetView>
  </sheetViews>
  <sheetFormatPr defaultRowHeight="13.2" x14ac:dyDescent="0.25"/>
  <cols>
    <col min="1" max="1" width="26.77734375" customWidth="1"/>
    <col min="2" max="2" width="24.6640625" customWidth="1"/>
    <col min="3" max="3" width="14.77734375" customWidth="1"/>
  </cols>
  <sheetData>
    <row r="1" spans="1:12" ht="21" x14ac:dyDescent="0.25">
      <c r="A1" s="1798" t="s">
        <v>203</v>
      </c>
      <c r="B1" s="1798" t="s">
        <v>204</v>
      </c>
      <c r="C1" s="1799">
        <v>25296</v>
      </c>
    </row>
    <row r="2" spans="1:12" ht="41.4" x14ac:dyDescent="0.25">
      <c r="A2" s="1800" t="s">
        <v>228</v>
      </c>
      <c r="B2" s="1804" t="s">
        <v>27</v>
      </c>
      <c r="C2" s="1801">
        <v>1798</v>
      </c>
      <c r="J2" s="1800" t="s">
        <v>241</v>
      </c>
      <c r="K2" s="1800" t="s">
        <v>242</v>
      </c>
      <c r="L2" s="1801">
        <v>233</v>
      </c>
    </row>
    <row r="3" spans="1:12" ht="41.4" x14ac:dyDescent="0.25">
      <c r="A3" s="1802" t="s">
        <v>228</v>
      </c>
      <c r="B3" s="1803" t="s">
        <v>28</v>
      </c>
      <c r="C3" s="1799">
        <v>92</v>
      </c>
      <c r="J3" s="1802" t="s">
        <v>241</v>
      </c>
      <c r="K3" s="1802" t="s">
        <v>72</v>
      </c>
      <c r="L3" s="1799">
        <v>44</v>
      </c>
    </row>
    <row r="4" spans="1:12" ht="41.4" x14ac:dyDescent="0.25">
      <c r="A4" s="1800" t="s">
        <v>228</v>
      </c>
      <c r="B4" s="1804" t="s">
        <v>29</v>
      </c>
      <c r="C4" s="1801">
        <v>1786</v>
      </c>
      <c r="J4" s="1800" t="s">
        <v>241</v>
      </c>
      <c r="K4" s="1800" t="s">
        <v>243</v>
      </c>
      <c r="L4" s="1801">
        <v>6</v>
      </c>
    </row>
    <row r="5" spans="1:12" ht="41.4" x14ac:dyDescent="0.25">
      <c r="A5" s="1802" t="s">
        <v>228</v>
      </c>
      <c r="B5" s="1802" t="s">
        <v>230</v>
      </c>
      <c r="C5" s="1799">
        <v>83</v>
      </c>
      <c r="J5" s="1802" t="s">
        <v>241</v>
      </c>
      <c r="K5" s="1802" t="s">
        <v>244</v>
      </c>
      <c r="L5" s="1799">
        <v>38</v>
      </c>
    </row>
    <row r="6" spans="1:12" ht="41.4" x14ac:dyDescent="0.25">
      <c r="A6" s="1800" t="s">
        <v>228</v>
      </c>
      <c r="B6" s="1800" t="s">
        <v>231</v>
      </c>
      <c r="C6" s="1801">
        <v>1703</v>
      </c>
      <c r="J6" s="1800" t="s">
        <v>241</v>
      </c>
      <c r="K6" s="1800" t="s">
        <v>79</v>
      </c>
      <c r="L6" s="1801">
        <v>1</v>
      </c>
    </row>
    <row r="7" spans="1:12" ht="41.4" x14ac:dyDescent="0.25">
      <c r="A7" s="1802" t="s">
        <v>228</v>
      </c>
      <c r="B7" s="1803" t="s">
        <v>30</v>
      </c>
      <c r="C7" s="1799">
        <v>1153</v>
      </c>
      <c r="J7" s="1802" t="s">
        <v>241</v>
      </c>
      <c r="K7" s="1802" t="s">
        <v>245</v>
      </c>
      <c r="L7" s="1799">
        <v>0</v>
      </c>
    </row>
    <row r="8" spans="1:12" ht="41.4" x14ac:dyDescent="0.25">
      <c r="A8" s="1800" t="s">
        <v>228</v>
      </c>
      <c r="B8" s="1800" t="s">
        <v>233</v>
      </c>
      <c r="C8" s="1801">
        <v>247</v>
      </c>
      <c r="J8" s="1800" t="s">
        <v>241</v>
      </c>
      <c r="K8" s="1800" t="s">
        <v>246</v>
      </c>
      <c r="L8" s="1801">
        <v>1</v>
      </c>
    </row>
    <row r="9" spans="1:12" ht="41.4" x14ac:dyDescent="0.25">
      <c r="A9" s="1802" t="s">
        <v>228</v>
      </c>
      <c r="B9" s="1802" t="s">
        <v>234</v>
      </c>
      <c r="C9" s="1799">
        <v>906</v>
      </c>
      <c r="J9" s="1802" t="s">
        <v>241</v>
      </c>
      <c r="K9" s="1802" t="s">
        <v>26</v>
      </c>
      <c r="L9" s="1799">
        <v>178</v>
      </c>
    </row>
    <row r="10" spans="1:12" ht="61.8" x14ac:dyDescent="0.25">
      <c r="A10" s="1802" t="s">
        <v>228</v>
      </c>
      <c r="B10" s="1802" t="s">
        <v>32</v>
      </c>
      <c r="C10" s="1799">
        <v>56</v>
      </c>
      <c r="J10" s="1800" t="s">
        <v>241</v>
      </c>
      <c r="K10" s="1800" t="s">
        <v>27</v>
      </c>
      <c r="L10" s="1801">
        <v>59</v>
      </c>
    </row>
    <row r="11" spans="1:12" ht="72" x14ac:dyDescent="0.25">
      <c r="A11" s="1800" t="s">
        <v>228</v>
      </c>
      <c r="B11" s="1800" t="s">
        <v>33</v>
      </c>
      <c r="C11" s="1801">
        <v>12</v>
      </c>
      <c r="J11" s="1802" t="s">
        <v>241</v>
      </c>
      <c r="K11" s="1802" t="s">
        <v>28</v>
      </c>
      <c r="L11" s="1799">
        <v>1</v>
      </c>
    </row>
    <row r="12" spans="1:12" ht="61.8" x14ac:dyDescent="0.25">
      <c r="A12" s="1802" t="s">
        <v>228</v>
      </c>
      <c r="B12" s="1802" t="s">
        <v>34</v>
      </c>
      <c r="C12" s="1799">
        <v>120</v>
      </c>
      <c r="J12" s="1800" t="s">
        <v>241</v>
      </c>
      <c r="K12" s="1800" t="s">
        <v>29</v>
      </c>
      <c r="L12" s="1801">
        <v>65</v>
      </c>
    </row>
    <row r="13" spans="1:12" ht="72" x14ac:dyDescent="0.25">
      <c r="A13" s="1800" t="s">
        <v>228</v>
      </c>
      <c r="B13" s="1800" t="s">
        <v>236</v>
      </c>
      <c r="C13" s="1801">
        <v>11</v>
      </c>
      <c r="J13" s="1802" t="s">
        <v>241</v>
      </c>
      <c r="K13" s="1802" t="s">
        <v>230</v>
      </c>
      <c r="L13" s="1799">
        <v>2</v>
      </c>
    </row>
    <row r="14" spans="1:12" ht="72" x14ac:dyDescent="0.25">
      <c r="A14" s="1802" t="s">
        <v>228</v>
      </c>
      <c r="B14" s="1802" t="s">
        <v>237</v>
      </c>
      <c r="C14" s="1799">
        <v>109</v>
      </c>
      <c r="J14" s="1800" t="s">
        <v>241</v>
      </c>
      <c r="K14" s="1800" t="s">
        <v>231</v>
      </c>
      <c r="L14" s="1801">
        <v>63</v>
      </c>
    </row>
    <row r="15" spans="1:12" ht="41.4" x14ac:dyDescent="0.25">
      <c r="A15" s="1800" t="s">
        <v>228</v>
      </c>
      <c r="B15" s="1800" t="s">
        <v>35</v>
      </c>
      <c r="C15" s="1801">
        <v>104</v>
      </c>
      <c r="J15" s="1802" t="s">
        <v>241</v>
      </c>
      <c r="K15" s="1802" t="s">
        <v>30</v>
      </c>
      <c r="L15" s="1799">
        <v>53</v>
      </c>
    </row>
    <row r="16" spans="1:12" ht="51.6" x14ac:dyDescent="0.25">
      <c r="A16" s="1802" t="s">
        <v>228</v>
      </c>
      <c r="B16" s="1802" t="s">
        <v>239</v>
      </c>
      <c r="C16" s="1799">
        <v>24</v>
      </c>
      <c r="J16" s="1800" t="s">
        <v>241</v>
      </c>
      <c r="K16" s="1800" t="s">
        <v>233</v>
      </c>
      <c r="L16" s="1801">
        <v>0</v>
      </c>
    </row>
    <row r="17" spans="1:12" ht="51.6" x14ac:dyDescent="0.25">
      <c r="A17" s="1800" t="s">
        <v>228</v>
      </c>
      <c r="B17" s="1800" t="s">
        <v>240</v>
      </c>
      <c r="C17" s="1801">
        <v>80</v>
      </c>
      <c r="J17" s="1802" t="s">
        <v>241</v>
      </c>
      <c r="K17" s="1802" t="s">
        <v>234</v>
      </c>
      <c r="L17" s="1799">
        <v>53</v>
      </c>
    </row>
    <row r="18" spans="1:12" ht="41.4" x14ac:dyDescent="0.25">
      <c r="A18" s="1802" t="s">
        <v>229</v>
      </c>
      <c r="B18" s="1803" t="s">
        <v>27</v>
      </c>
      <c r="C18" s="1799">
        <v>74</v>
      </c>
      <c r="J18" s="1800" t="s">
        <v>241</v>
      </c>
      <c r="K18" s="1800" t="s">
        <v>31</v>
      </c>
      <c r="L18" s="1801">
        <v>10</v>
      </c>
    </row>
    <row r="19" spans="1:12" ht="61.8" x14ac:dyDescent="0.25">
      <c r="A19" s="1800" t="s">
        <v>229</v>
      </c>
      <c r="B19" s="1804" t="s">
        <v>28</v>
      </c>
      <c r="C19" s="1801">
        <v>9</v>
      </c>
      <c r="J19" s="1802" t="s">
        <v>241</v>
      </c>
      <c r="K19" s="1802" t="s">
        <v>32</v>
      </c>
      <c r="L19" s="1799">
        <v>3</v>
      </c>
    </row>
    <row r="20" spans="1:12" ht="61.8" x14ac:dyDescent="0.25">
      <c r="A20" s="1802" t="s">
        <v>229</v>
      </c>
      <c r="B20" s="1803" t="s">
        <v>29</v>
      </c>
      <c r="C20" s="1799">
        <v>123</v>
      </c>
      <c r="J20" s="1800" t="s">
        <v>241</v>
      </c>
      <c r="K20" s="1800" t="s">
        <v>247</v>
      </c>
      <c r="L20" s="1801">
        <v>0</v>
      </c>
    </row>
    <row r="21" spans="1:12" ht="61.8" x14ac:dyDescent="0.25">
      <c r="A21" s="1800" t="s">
        <v>229</v>
      </c>
      <c r="B21" s="1800" t="s">
        <v>230</v>
      </c>
      <c r="C21" s="1801">
        <v>12</v>
      </c>
      <c r="J21" s="1802" t="s">
        <v>241</v>
      </c>
      <c r="K21" s="1802" t="s">
        <v>34</v>
      </c>
      <c r="L21" s="1799">
        <v>6</v>
      </c>
    </row>
    <row r="22" spans="1:12" ht="72" x14ac:dyDescent="0.25">
      <c r="A22" s="1802" t="s">
        <v>229</v>
      </c>
      <c r="B22" s="1802" t="s">
        <v>231</v>
      </c>
      <c r="C22" s="1799">
        <v>111</v>
      </c>
      <c r="J22" s="1800" t="s">
        <v>241</v>
      </c>
      <c r="K22" s="1800" t="s">
        <v>236</v>
      </c>
      <c r="L22" s="1801">
        <v>0</v>
      </c>
    </row>
    <row r="23" spans="1:12" ht="72" x14ac:dyDescent="0.25">
      <c r="A23" s="1800" t="s">
        <v>229</v>
      </c>
      <c r="B23" s="1800" t="s">
        <v>232</v>
      </c>
      <c r="C23" s="1801">
        <v>132</v>
      </c>
      <c r="J23" s="1802" t="s">
        <v>241</v>
      </c>
      <c r="K23" s="1802" t="s">
        <v>237</v>
      </c>
      <c r="L23" s="1799">
        <v>6</v>
      </c>
    </row>
    <row r="24" spans="1:12" ht="41.4" x14ac:dyDescent="0.25">
      <c r="A24" s="1802" t="s">
        <v>229</v>
      </c>
      <c r="B24" s="1802" t="s">
        <v>233</v>
      </c>
      <c r="C24" s="1799">
        <v>64</v>
      </c>
      <c r="J24" s="1800" t="s">
        <v>241</v>
      </c>
      <c r="K24" s="1800" t="s">
        <v>35</v>
      </c>
      <c r="L24" s="1801">
        <v>1</v>
      </c>
    </row>
    <row r="25" spans="1:12" ht="51.6" x14ac:dyDescent="0.25">
      <c r="A25" s="1800" t="s">
        <v>229</v>
      </c>
      <c r="B25" s="1800" t="s">
        <v>234</v>
      </c>
      <c r="C25" s="1801">
        <v>68</v>
      </c>
      <c r="J25" s="1802" t="s">
        <v>241</v>
      </c>
      <c r="K25" s="1802" t="s">
        <v>239</v>
      </c>
      <c r="L25" s="1799">
        <v>0</v>
      </c>
    </row>
    <row r="26" spans="1:12" ht="51.6" x14ac:dyDescent="0.25">
      <c r="A26" s="1800" t="s">
        <v>229</v>
      </c>
      <c r="B26" s="1800" t="s">
        <v>32</v>
      </c>
      <c r="C26" s="1801">
        <v>5</v>
      </c>
      <c r="J26" s="1800" t="s">
        <v>241</v>
      </c>
      <c r="K26" s="1800" t="s">
        <v>240</v>
      </c>
      <c r="L26" s="1801">
        <v>1</v>
      </c>
    </row>
    <row r="27" spans="1:12" ht="21" x14ac:dyDescent="0.25">
      <c r="A27" s="1802" t="s">
        <v>229</v>
      </c>
      <c r="B27" s="1802" t="s">
        <v>33</v>
      </c>
      <c r="C27" s="1799">
        <v>2</v>
      </c>
    </row>
    <row r="28" spans="1:12" ht="21" x14ac:dyDescent="0.25">
      <c r="A28" s="1800" t="s">
        <v>229</v>
      </c>
      <c r="B28" s="1800" t="s">
        <v>34</v>
      </c>
      <c r="C28" s="1801">
        <v>9</v>
      </c>
    </row>
    <row r="29" spans="1:12" ht="31.2" x14ac:dyDescent="0.25">
      <c r="A29" s="1802" t="s">
        <v>229</v>
      </c>
      <c r="B29" s="1802" t="s">
        <v>236</v>
      </c>
      <c r="C29" s="1799">
        <v>0</v>
      </c>
    </row>
    <row r="30" spans="1:12" ht="31.2" x14ac:dyDescent="0.25">
      <c r="A30" s="1800" t="s">
        <v>229</v>
      </c>
      <c r="B30" s="1800" t="s">
        <v>237</v>
      </c>
      <c r="C30" s="1801">
        <v>9</v>
      </c>
    </row>
    <row r="31" spans="1:12" ht="21" x14ac:dyDescent="0.25">
      <c r="A31" s="1802" t="s">
        <v>229</v>
      </c>
      <c r="B31" s="1802" t="s">
        <v>35</v>
      </c>
      <c r="C31" s="1799">
        <v>12</v>
      </c>
    </row>
    <row r="32" spans="1:12" ht="21" x14ac:dyDescent="0.25">
      <c r="A32" s="1800" t="s">
        <v>229</v>
      </c>
      <c r="B32" s="1800" t="s">
        <v>239</v>
      </c>
      <c r="C32" s="1801">
        <v>2</v>
      </c>
    </row>
    <row r="33" spans="1:3" ht="21" x14ac:dyDescent="0.25">
      <c r="A33" s="1802" t="s">
        <v>229</v>
      </c>
      <c r="B33" s="1802" t="s">
        <v>240</v>
      </c>
      <c r="C33" s="1799">
        <v>10</v>
      </c>
    </row>
    <row r="69" spans="1:3" ht="31.2" x14ac:dyDescent="0.25">
      <c r="A69" s="1800" t="s">
        <v>205</v>
      </c>
      <c r="B69" s="1800" t="s">
        <v>206</v>
      </c>
      <c r="C69" s="1801">
        <v>9866</v>
      </c>
    </row>
    <row r="70" spans="1:3" ht="21" x14ac:dyDescent="0.25">
      <c r="A70" s="1800" t="s">
        <v>211</v>
      </c>
      <c r="B70" s="1800" t="s">
        <v>210</v>
      </c>
      <c r="C70" s="1801">
        <v>2352</v>
      </c>
    </row>
    <row r="71" spans="1:3" ht="21" x14ac:dyDescent="0.25">
      <c r="A71" s="1802" t="s">
        <v>211</v>
      </c>
      <c r="B71" s="1802" t="s">
        <v>212</v>
      </c>
      <c r="C71" s="1799">
        <v>232</v>
      </c>
    </row>
    <row r="72" spans="1:3" ht="21" x14ac:dyDescent="0.25">
      <c r="A72" s="1800" t="s">
        <v>211</v>
      </c>
      <c r="B72" s="1800" t="s">
        <v>213</v>
      </c>
      <c r="C72" s="1801">
        <v>2120</v>
      </c>
    </row>
    <row r="73" spans="1:3" ht="21" x14ac:dyDescent="0.25">
      <c r="A73" s="1802" t="s">
        <v>211</v>
      </c>
      <c r="B73" s="1802" t="s">
        <v>215</v>
      </c>
      <c r="C73" s="1799">
        <v>350</v>
      </c>
    </row>
    <row r="74" spans="1:3" ht="21" x14ac:dyDescent="0.25">
      <c r="A74" s="1800" t="s">
        <v>211</v>
      </c>
      <c r="B74" s="1800" t="s">
        <v>216</v>
      </c>
      <c r="C74" s="1801">
        <v>39</v>
      </c>
    </row>
    <row r="75" spans="1:3" ht="21" x14ac:dyDescent="0.25">
      <c r="A75" s="1802" t="s">
        <v>211</v>
      </c>
      <c r="B75" s="1802" t="s">
        <v>217</v>
      </c>
      <c r="C75" s="1799">
        <v>311</v>
      </c>
    </row>
    <row r="76" spans="1:3" ht="21" x14ac:dyDescent="0.25">
      <c r="A76" s="1802" t="s">
        <v>211</v>
      </c>
      <c r="B76" s="1802" t="s">
        <v>219</v>
      </c>
      <c r="C76" s="1799">
        <v>1146</v>
      </c>
    </row>
    <row r="77" spans="1:3" ht="21" x14ac:dyDescent="0.25">
      <c r="A77" s="1800" t="s">
        <v>211</v>
      </c>
      <c r="B77" s="1800" t="s">
        <v>220</v>
      </c>
      <c r="C77" s="1801">
        <v>136</v>
      </c>
    </row>
    <row r="78" spans="1:3" ht="21" x14ac:dyDescent="0.25">
      <c r="A78" s="1802" t="s">
        <v>211</v>
      </c>
      <c r="B78" s="1802" t="s">
        <v>221</v>
      </c>
      <c r="C78" s="1799">
        <v>1010</v>
      </c>
    </row>
    <row r="79" spans="1:3" ht="21" x14ac:dyDescent="0.25">
      <c r="A79" s="1800" t="s">
        <v>211</v>
      </c>
      <c r="B79" s="1800" t="s">
        <v>223</v>
      </c>
      <c r="C79" s="1801">
        <v>71</v>
      </c>
    </row>
    <row r="80" spans="1:3" ht="21" x14ac:dyDescent="0.25">
      <c r="A80" s="1802" t="s">
        <v>211</v>
      </c>
      <c r="B80" s="1802" t="s">
        <v>224</v>
      </c>
      <c r="C80" s="1799">
        <v>13</v>
      </c>
    </row>
    <row r="81" spans="1:3" ht="21" x14ac:dyDescent="0.25">
      <c r="A81" s="1800" t="s">
        <v>211</v>
      </c>
      <c r="B81" s="1800" t="s">
        <v>225</v>
      </c>
      <c r="C81" s="1801">
        <v>58</v>
      </c>
    </row>
    <row r="82" spans="1:3" ht="21" x14ac:dyDescent="0.25">
      <c r="A82" s="1802" t="s">
        <v>214</v>
      </c>
      <c r="B82" s="1802" t="s">
        <v>210</v>
      </c>
      <c r="C82" s="1799">
        <v>144</v>
      </c>
    </row>
    <row r="83" spans="1:3" ht="21" x14ac:dyDescent="0.25">
      <c r="A83" s="1800" t="s">
        <v>214</v>
      </c>
      <c r="B83" s="1800" t="s">
        <v>212</v>
      </c>
      <c r="C83" s="1801">
        <v>26</v>
      </c>
    </row>
    <row r="84" spans="1:3" ht="21" x14ac:dyDescent="0.25">
      <c r="A84" s="1802" t="s">
        <v>214</v>
      </c>
      <c r="B84" s="1802" t="s">
        <v>213</v>
      </c>
      <c r="C84" s="1799">
        <v>118</v>
      </c>
    </row>
    <row r="85" spans="1:3" ht="21" x14ac:dyDescent="0.25">
      <c r="A85" s="1800" t="s">
        <v>214</v>
      </c>
      <c r="B85" s="1800" t="s">
        <v>215</v>
      </c>
      <c r="C85" s="1801">
        <v>30</v>
      </c>
    </row>
    <row r="86" spans="1:3" ht="21" x14ac:dyDescent="0.25">
      <c r="A86" s="1802" t="s">
        <v>214</v>
      </c>
      <c r="B86" s="1802" t="s">
        <v>216</v>
      </c>
      <c r="C86" s="1799">
        <v>7</v>
      </c>
    </row>
    <row r="87" spans="1:3" ht="21" x14ac:dyDescent="0.25">
      <c r="A87" s="1800" t="s">
        <v>214</v>
      </c>
      <c r="B87" s="1800" t="s">
        <v>217</v>
      </c>
      <c r="C87" s="1801">
        <v>23</v>
      </c>
    </row>
    <row r="88" spans="1:3" ht="21" x14ac:dyDescent="0.25">
      <c r="A88" s="1800" t="s">
        <v>222</v>
      </c>
      <c r="B88" s="1800" t="s">
        <v>219</v>
      </c>
      <c r="C88" s="1801">
        <v>47</v>
      </c>
    </row>
    <row r="89" spans="1:3" ht="21" x14ac:dyDescent="0.25">
      <c r="A89" s="1802" t="s">
        <v>222</v>
      </c>
      <c r="B89" s="1802" t="s">
        <v>220</v>
      </c>
      <c r="C89" s="1799">
        <v>16</v>
      </c>
    </row>
    <row r="90" spans="1:3" ht="21" x14ac:dyDescent="0.25">
      <c r="A90" s="1800" t="s">
        <v>222</v>
      </c>
      <c r="B90" s="1800" t="s">
        <v>221</v>
      </c>
      <c r="C90" s="1801">
        <v>31</v>
      </c>
    </row>
    <row r="91" spans="1:3" ht="21" x14ac:dyDescent="0.25">
      <c r="A91" s="1802" t="s">
        <v>222</v>
      </c>
      <c r="B91" s="1802" t="s">
        <v>223</v>
      </c>
      <c r="C91" s="1799">
        <v>6</v>
      </c>
    </row>
    <row r="92" spans="1:3" ht="21" x14ac:dyDescent="0.25">
      <c r="A92" s="1800" t="s">
        <v>222</v>
      </c>
      <c r="B92" s="1800" t="s">
        <v>224</v>
      </c>
      <c r="C92" s="1801">
        <v>2</v>
      </c>
    </row>
    <row r="93" spans="1:3" ht="21" x14ac:dyDescent="0.25">
      <c r="A93" s="1802" t="s">
        <v>222</v>
      </c>
      <c r="B93" s="1802" t="s">
        <v>225</v>
      </c>
      <c r="C93" s="1799">
        <v>4</v>
      </c>
    </row>
    <row r="94" spans="1:3" ht="21" x14ac:dyDescent="0.25">
      <c r="A94" s="1802" t="s">
        <v>207</v>
      </c>
      <c r="B94" s="1802" t="s">
        <v>208</v>
      </c>
      <c r="C94" s="1799">
        <v>9633</v>
      </c>
    </row>
    <row r="95" spans="1:3" ht="21" x14ac:dyDescent="0.25">
      <c r="A95" s="1800" t="s">
        <v>207</v>
      </c>
      <c r="B95" s="1800" t="s">
        <v>209</v>
      </c>
      <c r="C95" s="1801">
        <v>2876</v>
      </c>
    </row>
    <row r="96" spans="1:3" ht="21" x14ac:dyDescent="0.25">
      <c r="A96" s="1802" t="s">
        <v>207</v>
      </c>
      <c r="B96" s="1802" t="s">
        <v>210</v>
      </c>
      <c r="C96" s="1799">
        <v>2496</v>
      </c>
    </row>
    <row r="97" spans="1:3" ht="21" x14ac:dyDescent="0.25">
      <c r="A97" s="1800" t="s">
        <v>207</v>
      </c>
      <c r="B97" s="1800" t="s">
        <v>215</v>
      </c>
      <c r="C97" s="1801">
        <v>380</v>
      </c>
    </row>
    <row r="98" spans="1:3" ht="21" x14ac:dyDescent="0.25">
      <c r="A98" s="1802" t="s">
        <v>207</v>
      </c>
      <c r="B98" s="1802" t="s">
        <v>218</v>
      </c>
      <c r="C98" s="1799">
        <v>1270</v>
      </c>
    </row>
    <row r="99" spans="1:3" ht="21" x14ac:dyDescent="0.25">
      <c r="A99" s="1800" t="s">
        <v>207</v>
      </c>
      <c r="B99" s="1800" t="s">
        <v>219</v>
      </c>
      <c r="C99" s="1801">
        <v>1193</v>
      </c>
    </row>
    <row r="100" spans="1:3" ht="21" x14ac:dyDescent="0.25">
      <c r="A100" s="1802" t="s">
        <v>207</v>
      </c>
      <c r="B100" s="1802" t="s">
        <v>223</v>
      </c>
      <c r="C100" s="1799">
        <v>77</v>
      </c>
    </row>
  </sheetData>
  <sortState xmlns:xlrd2="http://schemas.microsoft.com/office/spreadsheetml/2017/richdata2" ref="A2:C100">
    <sortCondition ref="A2:A100" customList="våldtäkt,fullbordad våldtäkt,oaktsam våldtäkt"/>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AF1B-76B9-414F-BA5F-D1FBAB17763E}">
  <dimension ref="A1:I128"/>
  <sheetViews>
    <sheetView workbookViewId="0">
      <selection activeCell="G2" sqref="G2:I2"/>
    </sheetView>
  </sheetViews>
  <sheetFormatPr defaultRowHeight="13.2" x14ac:dyDescent="0.25"/>
  <cols>
    <col min="1" max="1" width="42.109375" customWidth="1"/>
    <col min="2" max="2" width="35.33203125" customWidth="1"/>
    <col min="3" max="3" width="27.6640625" customWidth="1"/>
    <col min="7" max="7" width="18" customWidth="1"/>
    <col min="8" max="8" width="41.44140625" customWidth="1"/>
    <col min="9" max="9" width="16.21875" customWidth="1"/>
  </cols>
  <sheetData>
    <row r="1" spans="1:9" ht="21" x14ac:dyDescent="0.25">
      <c r="A1" s="1798" t="s">
        <v>203</v>
      </c>
      <c r="B1" s="1798" t="s">
        <v>204</v>
      </c>
      <c r="C1" s="1799">
        <v>25296</v>
      </c>
      <c r="G1" s="1802" t="s">
        <v>226</v>
      </c>
      <c r="H1" s="1802" t="s">
        <v>238</v>
      </c>
      <c r="I1" s="1799">
        <v>116</v>
      </c>
    </row>
    <row r="2" spans="1:9" ht="21" x14ac:dyDescent="0.25">
      <c r="A2" s="1802" t="s">
        <v>228</v>
      </c>
      <c r="B2" s="1802" t="s">
        <v>32</v>
      </c>
      <c r="C2" s="1799">
        <v>56</v>
      </c>
      <c r="G2" s="1802" t="s">
        <v>226</v>
      </c>
      <c r="H2" s="1802" t="s">
        <v>235</v>
      </c>
      <c r="I2" s="1799">
        <v>320</v>
      </c>
    </row>
    <row r="3" spans="1:9" ht="21" x14ac:dyDescent="0.25">
      <c r="A3" s="1800" t="s">
        <v>228</v>
      </c>
      <c r="B3" s="1800" t="s">
        <v>33</v>
      </c>
      <c r="C3" s="1801">
        <v>12</v>
      </c>
    </row>
    <row r="4" spans="1:9" ht="21" x14ac:dyDescent="0.25">
      <c r="A4" s="1802" t="s">
        <v>228</v>
      </c>
      <c r="B4" s="1802" t="s">
        <v>34</v>
      </c>
      <c r="C4" s="1799">
        <v>120</v>
      </c>
    </row>
    <row r="5" spans="1:9" ht="21" x14ac:dyDescent="0.25">
      <c r="A5" s="1800" t="s">
        <v>228</v>
      </c>
      <c r="B5" s="1800" t="s">
        <v>236</v>
      </c>
      <c r="C5" s="1801">
        <v>11</v>
      </c>
    </row>
    <row r="6" spans="1:9" ht="21" x14ac:dyDescent="0.25">
      <c r="A6" s="1802" t="s">
        <v>228</v>
      </c>
      <c r="B6" s="1802" t="s">
        <v>237</v>
      </c>
      <c r="C6" s="1799">
        <v>109</v>
      </c>
    </row>
    <row r="7" spans="1:9" x14ac:dyDescent="0.25">
      <c r="A7" s="1800" t="s">
        <v>228</v>
      </c>
      <c r="B7" s="1800" t="s">
        <v>35</v>
      </c>
      <c r="C7" s="1801">
        <v>104</v>
      </c>
    </row>
    <row r="8" spans="1:9" ht="21" x14ac:dyDescent="0.25">
      <c r="A8" s="1802" t="s">
        <v>228</v>
      </c>
      <c r="B8" s="1802" t="s">
        <v>239</v>
      </c>
      <c r="C8" s="1799">
        <v>24</v>
      </c>
    </row>
    <row r="9" spans="1:9" ht="21" x14ac:dyDescent="0.25">
      <c r="A9" s="1800" t="s">
        <v>228</v>
      </c>
      <c r="B9" s="1800" t="s">
        <v>240</v>
      </c>
      <c r="C9" s="1801">
        <v>80</v>
      </c>
    </row>
    <row r="10" spans="1:9" ht="21" x14ac:dyDescent="0.25">
      <c r="A10" s="1800" t="s">
        <v>229</v>
      </c>
      <c r="B10" s="1800" t="s">
        <v>32</v>
      </c>
      <c r="C10" s="1801">
        <v>5</v>
      </c>
    </row>
    <row r="11" spans="1:9" ht="21" x14ac:dyDescent="0.25">
      <c r="A11" s="1802" t="s">
        <v>229</v>
      </c>
      <c r="B11" s="1802" t="s">
        <v>33</v>
      </c>
      <c r="C11" s="1799">
        <v>2</v>
      </c>
    </row>
    <row r="12" spans="1:9" ht="21" x14ac:dyDescent="0.25">
      <c r="A12" s="1800" t="s">
        <v>229</v>
      </c>
      <c r="B12" s="1800" t="s">
        <v>34</v>
      </c>
      <c r="C12" s="1801">
        <v>9</v>
      </c>
    </row>
    <row r="13" spans="1:9" ht="21" x14ac:dyDescent="0.25">
      <c r="A13" s="1802" t="s">
        <v>229</v>
      </c>
      <c r="B13" s="1802" t="s">
        <v>236</v>
      </c>
      <c r="C13" s="1799">
        <v>0</v>
      </c>
    </row>
    <row r="14" spans="1:9" ht="21" x14ac:dyDescent="0.25">
      <c r="A14" s="1800" t="s">
        <v>229</v>
      </c>
      <c r="B14" s="1800" t="s">
        <v>237</v>
      </c>
      <c r="C14" s="1801">
        <v>9</v>
      </c>
    </row>
    <row r="15" spans="1:9" x14ac:dyDescent="0.25">
      <c r="A15" s="1802" t="s">
        <v>229</v>
      </c>
      <c r="B15" s="1802" t="s">
        <v>35</v>
      </c>
      <c r="C15" s="1799">
        <v>12</v>
      </c>
    </row>
    <row r="16" spans="1:9" ht="21" x14ac:dyDescent="0.25">
      <c r="A16" s="1800" t="s">
        <v>229</v>
      </c>
      <c r="B16" s="1800" t="s">
        <v>239</v>
      </c>
      <c r="C16" s="1801">
        <v>2</v>
      </c>
    </row>
    <row r="17" spans="1:3" ht="21" x14ac:dyDescent="0.25">
      <c r="A17" s="1802" t="s">
        <v>229</v>
      </c>
      <c r="B17" s="1802" t="s">
        <v>240</v>
      </c>
      <c r="C17" s="1799">
        <v>10</v>
      </c>
    </row>
    <row r="19" spans="1:3" ht="21" x14ac:dyDescent="0.25">
      <c r="A19" s="1800" t="s">
        <v>226</v>
      </c>
      <c r="B19" s="1800" t="s">
        <v>32</v>
      </c>
      <c r="C19" s="1801">
        <v>61</v>
      </c>
    </row>
    <row r="20" spans="1:3" ht="21" x14ac:dyDescent="0.25">
      <c r="A20" s="1802" t="s">
        <v>226</v>
      </c>
      <c r="B20" s="1802" t="s">
        <v>33</v>
      </c>
      <c r="C20" s="1799">
        <v>14</v>
      </c>
    </row>
    <row r="21" spans="1:3" ht="21" x14ac:dyDescent="0.25">
      <c r="A21" s="1800" t="s">
        <v>226</v>
      </c>
      <c r="B21" s="1800" t="s">
        <v>34</v>
      </c>
      <c r="C21" s="1801">
        <v>129</v>
      </c>
    </row>
    <row r="23" spans="1:3" x14ac:dyDescent="0.25">
      <c r="A23" s="1800" t="s">
        <v>241</v>
      </c>
      <c r="B23" s="1800" t="s">
        <v>31</v>
      </c>
      <c r="C23" s="1801">
        <v>10</v>
      </c>
    </row>
    <row r="24" spans="1:3" ht="21" x14ac:dyDescent="0.25">
      <c r="A24" s="1802" t="s">
        <v>241</v>
      </c>
      <c r="B24" s="1802" t="s">
        <v>32</v>
      </c>
      <c r="C24" s="1799">
        <v>3</v>
      </c>
    </row>
    <row r="25" spans="1:3" ht="21" x14ac:dyDescent="0.25">
      <c r="A25" s="1800" t="s">
        <v>241</v>
      </c>
      <c r="B25" s="1800" t="s">
        <v>247</v>
      </c>
      <c r="C25" s="1801">
        <v>0</v>
      </c>
    </row>
    <row r="26" spans="1:3" ht="21" x14ac:dyDescent="0.25">
      <c r="A26" s="1802" t="s">
        <v>241</v>
      </c>
      <c r="B26" s="1802" t="s">
        <v>34</v>
      </c>
      <c r="C26" s="1799">
        <v>6</v>
      </c>
    </row>
    <row r="27" spans="1:3" ht="21" x14ac:dyDescent="0.25">
      <c r="A27" s="1800" t="s">
        <v>241</v>
      </c>
      <c r="B27" s="1800" t="s">
        <v>236</v>
      </c>
      <c r="C27" s="1801">
        <v>0</v>
      </c>
    </row>
    <row r="28" spans="1:3" ht="21" x14ac:dyDescent="0.25">
      <c r="A28" s="1802" t="s">
        <v>241</v>
      </c>
      <c r="B28" s="1802" t="s">
        <v>237</v>
      </c>
      <c r="C28" s="1799">
        <v>6</v>
      </c>
    </row>
    <row r="29" spans="1:3" x14ac:dyDescent="0.25">
      <c r="A29" s="1800" t="s">
        <v>241</v>
      </c>
      <c r="B29" s="1800" t="s">
        <v>35</v>
      </c>
      <c r="C29" s="1801">
        <v>1</v>
      </c>
    </row>
    <row r="30" spans="1:3" ht="21" x14ac:dyDescent="0.25">
      <c r="A30" s="1802" t="s">
        <v>241</v>
      </c>
      <c r="B30" s="1802" t="s">
        <v>239</v>
      </c>
      <c r="C30" s="1799">
        <v>0</v>
      </c>
    </row>
    <row r="31" spans="1:3" ht="21" x14ac:dyDescent="0.25">
      <c r="A31" s="1800" t="s">
        <v>241</v>
      </c>
      <c r="B31" s="1800" t="s">
        <v>240</v>
      </c>
      <c r="C31" s="1801">
        <v>1</v>
      </c>
    </row>
    <row r="32" spans="1:3" x14ac:dyDescent="0.25">
      <c r="C32" s="1806">
        <f>SUM(C2:C31)</f>
        <v>796</v>
      </c>
    </row>
    <row r="33" spans="1:3" x14ac:dyDescent="0.25">
      <c r="A33" s="1802"/>
      <c r="B33" s="1802"/>
      <c r="C33" s="1799"/>
    </row>
    <row r="44" spans="1:3" x14ac:dyDescent="0.25">
      <c r="A44" s="1800" t="s">
        <v>241</v>
      </c>
      <c r="B44" s="1800" t="s">
        <v>242</v>
      </c>
      <c r="C44" s="1801">
        <v>233</v>
      </c>
    </row>
    <row r="45" spans="1:3" x14ac:dyDescent="0.25">
      <c r="A45" s="1802" t="s">
        <v>241</v>
      </c>
      <c r="B45" s="1802" t="s">
        <v>72</v>
      </c>
      <c r="C45" s="1799">
        <v>44</v>
      </c>
    </row>
    <row r="46" spans="1:3" x14ac:dyDescent="0.25">
      <c r="A46" s="1800" t="s">
        <v>241</v>
      </c>
      <c r="B46" s="1800" t="s">
        <v>243</v>
      </c>
      <c r="C46" s="1801">
        <v>6</v>
      </c>
    </row>
    <row r="47" spans="1:3" x14ac:dyDescent="0.25">
      <c r="A47" s="1802" t="s">
        <v>241</v>
      </c>
      <c r="B47" s="1802" t="s">
        <v>244</v>
      </c>
      <c r="C47" s="1799">
        <v>38</v>
      </c>
    </row>
    <row r="48" spans="1:3" x14ac:dyDescent="0.25">
      <c r="A48" s="1800" t="s">
        <v>241</v>
      </c>
      <c r="B48" s="1800" t="s">
        <v>79</v>
      </c>
      <c r="C48" s="1801">
        <v>1</v>
      </c>
    </row>
    <row r="49" spans="1:3" x14ac:dyDescent="0.25">
      <c r="A49" s="1802" t="s">
        <v>241</v>
      </c>
      <c r="B49" s="1802" t="s">
        <v>245</v>
      </c>
      <c r="C49" s="1799">
        <v>0</v>
      </c>
    </row>
    <row r="50" spans="1:3" x14ac:dyDescent="0.25">
      <c r="A50" s="1800" t="s">
        <v>241</v>
      </c>
      <c r="B50" s="1800" t="s">
        <v>246</v>
      </c>
      <c r="C50" s="1801">
        <v>1</v>
      </c>
    </row>
    <row r="69" spans="1:3" ht="21" x14ac:dyDescent="0.25">
      <c r="A69" s="1800" t="s">
        <v>205</v>
      </c>
      <c r="B69" s="1800" t="s">
        <v>206</v>
      </c>
      <c r="C69" s="1801">
        <v>9866</v>
      </c>
    </row>
    <row r="70" spans="1:3" ht="21" x14ac:dyDescent="0.25">
      <c r="A70" s="1800" t="s">
        <v>211</v>
      </c>
      <c r="B70" s="1800" t="s">
        <v>210</v>
      </c>
      <c r="C70" s="1801">
        <v>2352</v>
      </c>
    </row>
    <row r="71" spans="1:3" ht="21" x14ac:dyDescent="0.25">
      <c r="A71" s="1802" t="s">
        <v>211</v>
      </c>
      <c r="B71" s="1802" t="s">
        <v>212</v>
      </c>
      <c r="C71" s="1799">
        <v>232</v>
      </c>
    </row>
    <row r="72" spans="1:3" ht="21" x14ac:dyDescent="0.25">
      <c r="A72" s="1800" t="s">
        <v>211</v>
      </c>
      <c r="B72" s="1800" t="s">
        <v>213</v>
      </c>
      <c r="C72" s="1801">
        <v>2120</v>
      </c>
    </row>
    <row r="73" spans="1:3" ht="21" x14ac:dyDescent="0.25">
      <c r="A73" s="1802" t="s">
        <v>211</v>
      </c>
      <c r="B73" s="1802" t="s">
        <v>215</v>
      </c>
      <c r="C73" s="1799">
        <v>350</v>
      </c>
    </row>
    <row r="74" spans="1:3" ht="21" x14ac:dyDescent="0.25">
      <c r="A74" s="1800" t="s">
        <v>211</v>
      </c>
      <c r="B74" s="1800" t="s">
        <v>216</v>
      </c>
      <c r="C74" s="1801">
        <v>39</v>
      </c>
    </row>
    <row r="75" spans="1:3" ht="21" x14ac:dyDescent="0.25">
      <c r="A75" s="1802" t="s">
        <v>211</v>
      </c>
      <c r="B75" s="1802" t="s">
        <v>217</v>
      </c>
      <c r="C75" s="1799">
        <v>311</v>
      </c>
    </row>
    <row r="76" spans="1:3" ht="21" x14ac:dyDescent="0.25">
      <c r="A76" s="1802" t="s">
        <v>211</v>
      </c>
      <c r="B76" s="1802" t="s">
        <v>219</v>
      </c>
      <c r="C76" s="1799">
        <v>1146</v>
      </c>
    </row>
    <row r="77" spans="1:3" ht="21" x14ac:dyDescent="0.25">
      <c r="A77" s="1800" t="s">
        <v>211</v>
      </c>
      <c r="B77" s="1800" t="s">
        <v>220</v>
      </c>
      <c r="C77" s="1801">
        <v>136</v>
      </c>
    </row>
    <row r="78" spans="1:3" ht="21" x14ac:dyDescent="0.25">
      <c r="A78" s="1802" t="s">
        <v>211</v>
      </c>
      <c r="B78" s="1802" t="s">
        <v>221</v>
      </c>
      <c r="C78" s="1799">
        <v>1010</v>
      </c>
    </row>
    <row r="79" spans="1:3" ht="21" x14ac:dyDescent="0.25">
      <c r="A79" s="1800" t="s">
        <v>211</v>
      </c>
      <c r="B79" s="1800" t="s">
        <v>223</v>
      </c>
      <c r="C79" s="1801">
        <v>71</v>
      </c>
    </row>
    <row r="80" spans="1:3" ht="21" x14ac:dyDescent="0.25">
      <c r="A80" s="1802" t="s">
        <v>211</v>
      </c>
      <c r="B80" s="1802" t="s">
        <v>224</v>
      </c>
      <c r="C80" s="1799">
        <v>13</v>
      </c>
    </row>
    <row r="81" spans="1:3" ht="21" x14ac:dyDescent="0.25">
      <c r="A81" s="1800" t="s">
        <v>211</v>
      </c>
      <c r="B81" s="1800" t="s">
        <v>225</v>
      </c>
      <c r="C81" s="1801">
        <v>58</v>
      </c>
    </row>
    <row r="82" spans="1:3" ht="21" x14ac:dyDescent="0.25">
      <c r="A82" s="1802" t="s">
        <v>214</v>
      </c>
      <c r="B82" s="1802" t="s">
        <v>210</v>
      </c>
      <c r="C82" s="1799">
        <v>144</v>
      </c>
    </row>
    <row r="83" spans="1:3" ht="21" x14ac:dyDescent="0.25">
      <c r="A83" s="1800" t="s">
        <v>214</v>
      </c>
      <c r="B83" s="1800" t="s">
        <v>212</v>
      </c>
      <c r="C83" s="1801">
        <v>26</v>
      </c>
    </row>
    <row r="84" spans="1:3" ht="21" x14ac:dyDescent="0.25">
      <c r="A84" s="1802" t="s">
        <v>214</v>
      </c>
      <c r="B84" s="1802" t="s">
        <v>213</v>
      </c>
      <c r="C84" s="1799">
        <v>118</v>
      </c>
    </row>
    <row r="85" spans="1:3" ht="21" x14ac:dyDescent="0.25">
      <c r="A85" s="1800" t="s">
        <v>214</v>
      </c>
      <c r="B85" s="1800" t="s">
        <v>215</v>
      </c>
      <c r="C85" s="1801">
        <v>30</v>
      </c>
    </row>
    <row r="86" spans="1:3" ht="21" x14ac:dyDescent="0.25">
      <c r="A86" s="1802" t="s">
        <v>214</v>
      </c>
      <c r="B86" s="1802" t="s">
        <v>216</v>
      </c>
      <c r="C86" s="1799">
        <v>7</v>
      </c>
    </row>
    <row r="87" spans="1:3" ht="21" x14ac:dyDescent="0.25">
      <c r="A87" s="1800" t="s">
        <v>214</v>
      </c>
      <c r="B87" s="1800" t="s">
        <v>217</v>
      </c>
      <c r="C87" s="1801">
        <v>23</v>
      </c>
    </row>
    <row r="88" spans="1:3" ht="21" x14ac:dyDescent="0.25">
      <c r="A88" s="1800" t="s">
        <v>222</v>
      </c>
      <c r="B88" s="1800" t="s">
        <v>219</v>
      </c>
      <c r="C88" s="1801">
        <v>47</v>
      </c>
    </row>
    <row r="89" spans="1:3" ht="21" x14ac:dyDescent="0.25">
      <c r="A89" s="1802" t="s">
        <v>222</v>
      </c>
      <c r="B89" s="1802" t="s">
        <v>220</v>
      </c>
      <c r="C89" s="1799">
        <v>16</v>
      </c>
    </row>
    <row r="90" spans="1:3" ht="21" x14ac:dyDescent="0.25">
      <c r="A90" s="1800" t="s">
        <v>222</v>
      </c>
      <c r="B90" s="1800" t="s">
        <v>221</v>
      </c>
      <c r="C90" s="1801">
        <v>31</v>
      </c>
    </row>
    <row r="91" spans="1:3" ht="21" x14ac:dyDescent="0.25">
      <c r="A91" s="1802" t="s">
        <v>222</v>
      </c>
      <c r="B91" s="1802" t="s">
        <v>223</v>
      </c>
      <c r="C91" s="1799">
        <v>6</v>
      </c>
    </row>
    <row r="92" spans="1:3" ht="21" x14ac:dyDescent="0.25">
      <c r="A92" s="1800" t="s">
        <v>222</v>
      </c>
      <c r="B92" s="1800" t="s">
        <v>224</v>
      </c>
      <c r="C92" s="1801">
        <v>2</v>
      </c>
    </row>
    <row r="93" spans="1:3" ht="21" x14ac:dyDescent="0.25">
      <c r="A93" s="1802" t="s">
        <v>222</v>
      </c>
      <c r="B93" s="1802" t="s">
        <v>225</v>
      </c>
      <c r="C93" s="1799">
        <v>4</v>
      </c>
    </row>
    <row r="94" spans="1:3" ht="21" x14ac:dyDescent="0.25">
      <c r="A94" s="1802" t="s">
        <v>207</v>
      </c>
      <c r="B94" s="1802" t="s">
        <v>208</v>
      </c>
      <c r="C94" s="1799">
        <v>9633</v>
      </c>
    </row>
    <row r="95" spans="1:3" ht="21" x14ac:dyDescent="0.25">
      <c r="A95" s="1800" t="s">
        <v>207</v>
      </c>
      <c r="B95" s="1800" t="s">
        <v>209</v>
      </c>
      <c r="C95" s="1801">
        <v>2876</v>
      </c>
    </row>
    <row r="96" spans="1:3" ht="21" x14ac:dyDescent="0.25">
      <c r="A96" s="1802" t="s">
        <v>207</v>
      </c>
      <c r="B96" s="1802" t="s">
        <v>210</v>
      </c>
      <c r="C96" s="1799">
        <v>2496</v>
      </c>
    </row>
    <row r="97" spans="1:3" ht="21" x14ac:dyDescent="0.25">
      <c r="A97" s="1800" t="s">
        <v>207</v>
      </c>
      <c r="B97" s="1800" t="s">
        <v>215</v>
      </c>
      <c r="C97" s="1801">
        <v>380</v>
      </c>
    </row>
    <row r="98" spans="1:3" ht="21" x14ac:dyDescent="0.25">
      <c r="A98" s="1802" t="s">
        <v>207</v>
      </c>
      <c r="B98" s="1802" t="s">
        <v>218</v>
      </c>
      <c r="C98" s="1799">
        <v>1270</v>
      </c>
    </row>
    <row r="99" spans="1:3" ht="21" x14ac:dyDescent="0.25">
      <c r="A99" s="1800" t="s">
        <v>207</v>
      </c>
      <c r="B99" s="1800" t="s">
        <v>219</v>
      </c>
      <c r="C99" s="1801">
        <v>1193</v>
      </c>
    </row>
    <row r="100" spans="1:3" ht="21" x14ac:dyDescent="0.25">
      <c r="A100" s="1802" t="s">
        <v>207</v>
      </c>
      <c r="B100" s="1802" t="s">
        <v>223</v>
      </c>
      <c r="C100" s="1799">
        <v>77</v>
      </c>
    </row>
    <row r="121" spans="1:3" ht="26.4" x14ac:dyDescent="0.25">
      <c r="A121" s="1802" t="s">
        <v>229</v>
      </c>
      <c r="B121" s="1803" t="s">
        <v>27</v>
      </c>
      <c r="C121" s="1799">
        <v>74</v>
      </c>
    </row>
    <row r="122" spans="1:3" ht="26.4" x14ac:dyDescent="0.25">
      <c r="A122" s="1800" t="s">
        <v>229</v>
      </c>
      <c r="B122" s="1804" t="s">
        <v>28</v>
      </c>
      <c r="C122" s="1801">
        <v>9</v>
      </c>
    </row>
    <row r="123" spans="1:3" ht="39.6" x14ac:dyDescent="0.25">
      <c r="A123" s="1802" t="s">
        <v>229</v>
      </c>
      <c r="B123" s="1803" t="s">
        <v>29</v>
      </c>
      <c r="C123" s="1799">
        <v>123</v>
      </c>
    </row>
    <row r="124" spans="1:3" ht="21" x14ac:dyDescent="0.25">
      <c r="A124" s="1800" t="s">
        <v>229</v>
      </c>
      <c r="B124" s="1800" t="s">
        <v>230</v>
      </c>
      <c r="C124" s="1801">
        <v>12</v>
      </c>
    </row>
    <row r="125" spans="1:3" ht="21" x14ac:dyDescent="0.25">
      <c r="A125" s="1802" t="s">
        <v>229</v>
      </c>
      <c r="B125" s="1802" t="s">
        <v>231</v>
      </c>
      <c r="C125" s="1799">
        <v>111</v>
      </c>
    </row>
    <row r="126" spans="1:3" ht="21" x14ac:dyDescent="0.25">
      <c r="A126" s="1800" t="s">
        <v>229</v>
      </c>
      <c r="B126" s="1800" t="s">
        <v>232</v>
      </c>
      <c r="C126" s="1801">
        <v>132</v>
      </c>
    </row>
    <row r="127" spans="1:3" ht="21" x14ac:dyDescent="0.25">
      <c r="A127" s="1802" t="s">
        <v>229</v>
      </c>
      <c r="B127" s="1802" t="s">
        <v>233</v>
      </c>
      <c r="C127" s="1799">
        <v>64</v>
      </c>
    </row>
    <row r="128" spans="1:3" ht="21" x14ac:dyDescent="0.25">
      <c r="A128" s="1800" t="s">
        <v>229</v>
      </c>
      <c r="B128" s="1800" t="s">
        <v>234</v>
      </c>
      <c r="C128" s="1801">
        <v>68</v>
      </c>
    </row>
  </sheetData>
  <sortState xmlns:xlrd2="http://schemas.microsoft.com/office/spreadsheetml/2017/richdata2" ref="A2:C100">
    <sortCondition ref="A2:A100" customList="barn,kvinna man"/>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17EA-5FF2-4E45-9EE6-A283C14B257D}">
  <dimension ref="A1:G52"/>
  <sheetViews>
    <sheetView workbookViewId="0">
      <selection activeCell="C36" sqref="C36"/>
    </sheetView>
  </sheetViews>
  <sheetFormatPr defaultRowHeight="13.2" x14ac:dyDescent="0.25"/>
  <cols>
    <col min="1" max="1" width="29.6640625" customWidth="1"/>
    <col min="2" max="2" width="25.5546875" customWidth="1"/>
    <col min="3" max="3" width="26.77734375" customWidth="1"/>
    <col min="4" max="4" width="26.6640625" customWidth="1"/>
    <col min="5" max="5" width="37.21875" customWidth="1"/>
    <col min="6" max="6" width="18.77734375" customWidth="1"/>
    <col min="7" max="7" width="17.21875" customWidth="1"/>
  </cols>
  <sheetData>
    <row r="1" spans="1:7" x14ac:dyDescent="0.25">
      <c r="A1" t="s">
        <v>944</v>
      </c>
      <c r="E1" t="s">
        <v>945</v>
      </c>
    </row>
    <row r="2" spans="1:7" ht="72" x14ac:dyDescent="0.25">
      <c r="A2" s="1800" t="s">
        <v>228</v>
      </c>
      <c r="B2" s="1804" t="s">
        <v>27</v>
      </c>
      <c r="C2" s="1801">
        <v>1798</v>
      </c>
      <c r="E2" s="1800" t="s">
        <v>228</v>
      </c>
      <c r="F2" s="1800" t="s">
        <v>231</v>
      </c>
      <c r="G2" s="1801">
        <v>1703</v>
      </c>
    </row>
    <row r="3" spans="1:7" ht="66" x14ac:dyDescent="0.25">
      <c r="A3" s="1802" t="s">
        <v>228</v>
      </c>
      <c r="B3" s="1803" t="s">
        <v>28</v>
      </c>
      <c r="C3" s="1799">
        <v>92</v>
      </c>
      <c r="E3" s="1802" t="s">
        <v>228</v>
      </c>
      <c r="F3" s="1803" t="s">
        <v>30</v>
      </c>
      <c r="G3" s="1799">
        <v>1153</v>
      </c>
    </row>
    <row r="4" spans="1:7" ht="51.6" x14ac:dyDescent="0.25">
      <c r="A4" s="1800" t="s">
        <v>228</v>
      </c>
      <c r="B4" s="1804" t="s">
        <v>29</v>
      </c>
      <c r="C4" s="1801">
        <v>1786</v>
      </c>
      <c r="E4" s="1800" t="s">
        <v>228</v>
      </c>
      <c r="F4" s="1800" t="s">
        <v>233</v>
      </c>
      <c r="G4" s="1801">
        <v>247</v>
      </c>
    </row>
    <row r="5" spans="1:7" ht="51.6" x14ac:dyDescent="0.25">
      <c r="A5" s="1802" t="s">
        <v>228</v>
      </c>
      <c r="B5" s="1802" t="s">
        <v>230</v>
      </c>
      <c r="C5" s="1799">
        <v>83</v>
      </c>
      <c r="E5" s="1802" t="s">
        <v>228</v>
      </c>
      <c r="F5" s="1802" t="s">
        <v>234</v>
      </c>
      <c r="G5" s="1799">
        <v>906</v>
      </c>
    </row>
    <row r="6" spans="1:7" ht="51.6" x14ac:dyDescent="0.25">
      <c r="A6" s="1805" t="s">
        <v>229</v>
      </c>
      <c r="B6" s="1803" t="s">
        <v>27</v>
      </c>
      <c r="C6" s="1799">
        <v>74</v>
      </c>
      <c r="E6" s="1800" t="s">
        <v>229</v>
      </c>
      <c r="F6" s="1800" t="s">
        <v>232</v>
      </c>
      <c r="G6" s="1801">
        <v>132</v>
      </c>
    </row>
    <row r="7" spans="1:7" ht="51.6" x14ac:dyDescent="0.25">
      <c r="A7" s="1800" t="s">
        <v>229</v>
      </c>
      <c r="B7" s="1804" t="s">
        <v>28</v>
      </c>
      <c r="C7" s="1801">
        <v>9</v>
      </c>
      <c r="E7" s="1802" t="s">
        <v>229</v>
      </c>
      <c r="F7" s="1802" t="s">
        <v>233</v>
      </c>
      <c r="G7" s="1799">
        <v>64</v>
      </c>
    </row>
    <row r="8" spans="1:7" ht="51.6" x14ac:dyDescent="0.25">
      <c r="A8" s="1802" t="s">
        <v>229</v>
      </c>
      <c r="B8" s="1803" t="s">
        <v>29</v>
      </c>
      <c r="C8" s="1799">
        <v>123</v>
      </c>
      <c r="E8" s="1800" t="s">
        <v>229</v>
      </c>
      <c r="F8" s="1800" t="s">
        <v>234</v>
      </c>
      <c r="G8" s="1801">
        <v>68</v>
      </c>
    </row>
    <row r="9" spans="1:7" ht="41.4" x14ac:dyDescent="0.25">
      <c r="A9" s="1800" t="s">
        <v>229</v>
      </c>
      <c r="B9" s="1800" t="s">
        <v>230</v>
      </c>
      <c r="C9" s="1801">
        <v>12</v>
      </c>
      <c r="E9" s="1802" t="s">
        <v>241</v>
      </c>
      <c r="F9" s="1802" t="s">
        <v>30</v>
      </c>
      <c r="G9" s="1799">
        <v>53</v>
      </c>
    </row>
    <row r="10" spans="1:7" ht="51.6" x14ac:dyDescent="0.25">
      <c r="A10" s="1802" t="s">
        <v>229</v>
      </c>
      <c r="B10" s="1802" t="s">
        <v>231</v>
      </c>
      <c r="C10" s="1799">
        <v>111</v>
      </c>
      <c r="E10" s="1800" t="s">
        <v>241</v>
      </c>
      <c r="F10" s="1800" t="s">
        <v>233</v>
      </c>
      <c r="G10" s="1801">
        <v>0</v>
      </c>
    </row>
    <row r="11" spans="1:7" ht="51.6" x14ac:dyDescent="0.25">
      <c r="A11" s="1802" t="s">
        <v>226</v>
      </c>
      <c r="B11" s="1803" t="s">
        <v>27</v>
      </c>
      <c r="C11" s="1799">
        <v>1872</v>
      </c>
      <c r="E11" s="1802" t="s">
        <v>241</v>
      </c>
      <c r="F11" s="1802" t="s">
        <v>234</v>
      </c>
      <c r="G11" s="1799">
        <v>53</v>
      </c>
    </row>
    <row r="12" spans="1:7" ht="39.6" x14ac:dyDescent="0.25">
      <c r="A12" s="1800" t="s">
        <v>226</v>
      </c>
      <c r="B12" s="1804" t="s">
        <v>28</v>
      </c>
      <c r="C12" s="1801">
        <v>101</v>
      </c>
      <c r="G12" s="1806">
        <f>SUM(G2:G11)</f>
        <v>4379</v>
      </c>
    </row>
    <row r="13" spans="1:7" ht="39.6" x14ac:dyDescent="0.25">
      <c r="A13" s="1803" t="s">
        <v>226</v>
      </c>
      <c r="B13" s="1803" t="s">
        <v>29</v>
      </c>
      <c r="C13" s="1799">
        <v>1909</v>
      </c>
    </row>
    <row r="14" spans="1:7" ht="21" x14ac:dyDescent="0.25">
      <c r="A14" s="1800" t="s">
        <v>241</v>
      </c>
      <c r="B14" s="1800" t="s">
        <v>27</v>
      </c>
      <c r="C14" s="1801">
        <v>59</v>
      </c>
    </row>
    <row r="15" spans="1:7" ht="21" x14ac:dyDescent="0.25">
      <c r="A15" s="1802" t="s">
        <v>241</v>
      </c>
      <c r="B15" s="1802" t="s">
        <v>28</v>
      </c>
      <c r="C15" s="1799">
        <v>1</v>
      </c>
    </row>
    <row r="16" spans="1:7" ht="21" x14ac:dyDescent="0.25">
      <c r="A16" s="1800" t="s">
        <v>241</v>
      </c>
      <c r="B16" s="1800" t="s">
        <v>29</v>
      </c>
      <c r="C16" s="1801">
        <v>65</v>
      </c>
    </row>
    <row r="17" spans="1:3" ht="31.2" x14ac:dyDescent="0.25">
      <c r="A17" s="1802" t="s">
        <v>241</v>
      </c>
      <c r="B17" s="1802" t="s">
        <v>230</v>
      </c>
      <c r="C17" s="1799">
        <v>2</v>
      </c>
    </row>
    <row r="18" spans="1:3" ht="31.2" x14ac:dyDescent="0.25">
      <c r="A18" s="1800" t="s">
        <v>241</v>
      </c>
      <c r="B18" s="1800" t="s">
        <v>231</v>
      </c>
      <c r="C18" s="1801">
        <v>63</v>
      </c>
    </row>
    <row r="19" spans="1:3" x14ac:dyDescent="0.25">
      <c r="C19" s="1806">
        <f>SUM(C2:C18)</f>
        <v>8160</v>
      </c>
    </row>
    <row r="25" spans="1:3" x14ac:dyDescent="0.25">
      <c r="A25" s="1800" t="s">
        <v>226</v>
      </c>
      <c r="B25" s="1800" t="s">
        <v>227</v>
      </c>
      <c r="C25" s="1801">
        <v>5167</v>
      </c>
    </row>
    <row r="26" spans="1:3" ht="26.4" x14ac:dyDescent="0.25">
      <c r="A26" s="1802" t="s">
        <v>226</v>
      </c>
      <c r="B26" s="1803" t="s">
        <v>27</v>
      </c>
      <c r="C26" s="1799">
        <v>1872</v>
      </c>
    </row>
    <row r="27" spans="1:3" ht="39.6" x14ac:dyDescent="0.25">
      <c r="A27" s="1800" t="s">
        <v>226</v>
      </c>
      <c r="B27" s="1804" t="s">
        <v>28</v>
      </c>
      <c r="C27" s="1801">
        <v>101</v>
      </c>
    </row>
    <row r="28" spans="1:3" ht="39.6" x14ac:dyDescent="0.25">
      <c r="A28" s="1803" t="s">
        <v>226</v>
      </c>
      <c r="B28" s="1803" t="s">
        <v>29</v>
      </c>
      <c r="C28" s="1799">
        <v>1909</v>
      </c>
    </row>
    <row r="29" spans="1:3" ht="21" x14ac:dyDescent="0.25">
      <c r="A29" s="1800" t="s">
        <v>226</v>
      </c>
      <c r="B29" s="1800" t="s">
        <v>232</v>
      </c>
      <c r="C29" s="1801">
        <v>1285</v>
      </c>
    </row>
    <row r="30" spans="1:3" x14ac:dyDescent="0.25">
      <c r="A30" s="1802" t="s">
        <v>226</v>
      </c>
      <c r="B30" s="1802" t="s">
        <v>235</v>
      </c>
      <c r="C30" s="1799">
        <v>320</v>
      </c>
    </row>
    <row r="31" spans="1:3" ht="21" x14ac:dyDescent="0.25">
      <c r="A31" s="1800" t="s">
        <v>226</v>
      </c>
      <c r="B31" s="1800" t="s">
        <v>32</v>
      </c>
      <c r="C31" s="1801">
        <v>61</v>
      </c>
    </row>
    <row r="32" spans="1:3" ht="21" x14ac:dyDescent="0.25">
      <c r="A32" s="1802" t="s">
        <v>226</v>
      </c>
      <c r="B32" s="1802" t="s">
        <v>33</v>
      </c>
      <c r="C32" s="1799">
        <v>14</v>
      </c>
    </row>
    <row r="33" spans="1:3" ht="21" x14ac:dyDescent="0.25">
      <c r="A33" s="1800" t="s">
        <v>226</v>
      </c>
      <c r="B33" s="1800" t="s">
        <v>34</v>
      </c>
      <c r="C33" s="1801">
        <v>129</v>
      </c>
    </row>
    <row r="34" spans="1:3" ht="21" x14ac:dyDescent="0.25">
      <c r="A34" s="1802" t="s">
        <v>226</v>
      </c>
      <c r="B34" s="1802" t="s">
        <v>238</v>
      </c>
      <c r="C34" s="1799">
        <v>116</v>
      </c>
    </row>
    <row r="35" spans="1:3" x14ac:dyDescent="0.25">
      <c r="C35" s="1806">
        <f>SUM(C26:C34)</f>
        <v>5807</v>
      </c>
    </row>
    <row r="47" spans="1:3" ht="41.4" x14ac:dyDescent="0.25">
      <c r="A47" s="1800" t="s">
        <v>226</v>
      </c>
      <c r="B47" s="1800" t="s">
        <v>227</v>
      </c>
      <c r="C47" s="1801">
        <v>5167</v>
      </c>
    </row>
    <row r="51" spans="1:3" ht="51.6" x14ac:dyDescent="0.25">
      <c r="A51" s="1800" t="s">
        <v>226</v>
      </c>
      <c r="B51" s="1800" t="s">
        <v>232</v>
      </c>
      <c r="C51" s="1801">
        <v>1285</v>
      </c>
    </row>
    <row r="52" spans="1:3" ht="41.4" x14ac:dyDescent="0.25">
      <c r="A52" s="1802" t="s">
        <v>241</v>
      </c>
      <c r="B52" s="1802" t="s">
        <v>26</v>
      </c>
      <c r="C52" s="1799">
        <v>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B8BA-ECEE-43FB-8380-3AE34080CE3D}">
  <dimension ref="A1:F466"/>
  <sheetViews>
    <sheetView showGridLines="0" workbookViewId="0">
      <selection activeCell="E475" sqref="E475"/>
    </sheetView>
  </sheetViews>
  <sheetFormatPr defaultColWidth="9.109375" defaultRowHeight="14.4" x14ac:dyDescent="0.3"/>
  <cols>
    <col min="1" max="2" width="65.6640625" style="8" customWidth="1"/>
    <col min="3" max="3" width="17.6640625" style="6" customWidth="1"/>
    <col min="4" max="4" width="17.6640625" style="7" customWidth="1"/>
    <col min="5" max="5" width="19.6640625" style="7" customWidth="1"/>
    <col min="6" max="6" width="19.6640625" style="6" customWidth="1"/>
    <col min="7" max="16384" width="9.109375" style="8"/>
  </cols>
  <sheetData>
    <row r="1" spans="1:6" ht="45" customHeight="1" x14ac:dyDescent="0.3">
      <c r="A1" s="11" t="s">
        <v>5</v>
      </c>
      <c r="D1" s="5"/>
      <c r="E1" s="5"/>
    </row>
    <row r="2" spans="1:6" ht="40.799999999999997" x14ac:dyDescent="0.3">
      <c r="A2" s="12" t="s">
        <v>1</v>
      </c>
      <c r="B2" s="12" t="s">
        <v>0</v>
      </c>
      <c r="C2" s="12" t="s">
        <v>865</v>
      </c>
      <c r="D2" s="12" t="s">
        <v>2</v>
      </c>
      <c r="E2" s="12" t="s">
        <v>3</v>
      </c>
      <c r="F2" s="12" t="s">
        <v>866</v>
      </c>
    </row>
    <row r="3" spans="1:6" x14ac:dyDescent="0.3">
      <c r="A3" s="13" t="s">
        <v>6</v>
      </c>
      <c r="B3" s="1794" t="s">
        <v>6</v>
      </c>
      <c r="C3" s="14">
        <v>1478879</v>
      </c>
      <c r="D3" s="14">
        <v>-21760</v>
      </c>
      <c r="E3" s="14">
        <v>-1.4500489458157499</v>
      </c>
      <c r="F3" s="14">
        <v>14015.542698446799</v>
      </c>
    </row>
    <row r="4" spans="1:6" x14ac:dyDescent="0.3">
      <c r="A4" s="15" t="s">
        <v>7</v>
      </c>
      <c r="B4" s="1794" t="s">
        <v>8</v>
      </c>
      <c r="C4" s="16">
        <v>1183665</v>
      </c>
      <c r="D4" s="16">
        <v>-44564</v>
      </c>
      <c r="E4" s="16">
        <v>-3.6283136125266502</v>
      </c>
      <c r="F4" s="16">
        <v>11217.758415771001</v>
      </c>
    </row>
    <row r="5" spans="1:6" x14ac:dyDescent="0.3">
      <c r="A5" s="17" t="s">
        <v>9</v>
      </c>
      <c r="B5" s="1794" t="s">
        <v>10</v>
      </c>
      <c r="C5" s="18">
        <v>308967</v>
      </c>
      <c r="D5" s="18">
        <v>15855</v>
      </c>
      <c r="E5" s="18">
        <v>5.4091951199541501</v>
      </c>
      <c r="F5" s="18">
        <v>2928.1233832592202</v>
      </c>
    </row>
    <row r="6" spans="1:6" x14ac:dyDescent="0.3">
      <c r="A6" s="19" t="s">
        <v>11</v>
      </c>
      <c r="B6" s="19" t="s">
        <v>12</v>
      </c>
      <c r="C6" s="20">
        <v>95509</v>
      </c>
      <c r="D6" s="20">
        <v>3006</v>
      </c>
      <c r="E6" s="20">
        <v>3.249624336508</v>
      </c>
      <c r="F6" s="20">
        <v>905.15212372746896</v>
      </c>
    </row>
    <row r="7" spans="1:6" x14ac:dyDescent="0.3">
      <c r="A7" s="21" t="s">
        <v>13</v>
      </c>
      <c r="B7" s="1795" t="s">
        <v>14</v>
      </c>
      <c r="C7" s="22">
        <v>501</v>
      </c>
      <c r="D7" s="22">
        <v>16</v>
      </c>
      <c r="E7" s="22">
        <v>3.2989690721649501</v>
      </c>
      <c r="F7" s="22">
        <v>4.7480469273834096</v>
      </c>
    </row>
    <row r="8" spans="1:6" x14ac:dyDescent="0.3">
      <c r="A8" s="23" t="s">
        <v>13</v>
      </c>
      <c r="B8" s="1795" t="s">
        <v>15</v>
      </c>
      <c r="C8" s="24">
        <v>171</v>
      </c>
      <c r="D8" s="24">
        <v>-10</v>
      </c>
      <c r="E8" s="24">
        <v>-5.5248618784530397</v>
      </c>
      <c r="F8" s="24">
        <v>1.62059086743027</v>
      </c>
    </row>
    <row r="9" spans="1:6" x14ac:dyDescent="0.3">
      <c r="A9" s="25" t="s">
        <v>13</v>
      </c>
      <c r="B9" s="1795" t="s">
        <v>16</v>
      </c>
      <c r="C9" s="26">
        <v>12</v>
      </c>
      <c r="D9" s="26">
        <v>-6</v>
      </c>
      <c r="E9" s="26">
        <v>-33.3333333333333</v>
      </c>
      <c r="F9" s="26">
        <v>0.113725674907387</v>
      </c>
    </row>
    <row r="10" spans="1:6" x14ac:dyDescent="0.3">
      <c r="A10" s="27" t="s">
        <v>13</v>
      </c>
      <c r="B10" s="1795" t="s">
        <v>17</v>
      </c>
      <c r="C10" s="28">
        <v>159</v>
      </c>
      <c r="D10" s="28">
        <v>-4</v>
      </c>
      <c r="E10" s="28">
        <v>-2.4539877300613502</v>
      </c>
      <c r="F10" s="28">
        <v>1.50686519252288</v>
      </c>
    </row>
    <row r="11" spans="1:6" x14ac:dyDescent="0.3">
      <c r="A11" s="29" t="s">
        <v>13</v>
      </c>
      <c r="B11" s="1795" t="s">
        <v>18</v>
      </c>
      <c r="C11" s="30">
        <v>330</v>
      </c>
      <c r="D11" s="30">
        <v>26</v>
      </c>
      <c r="E11" s="30">
        <v>8.5526315789473699</v>
      </c>
      <c r="F11" s="30">
        <v>3.1274560599531398</v>
      </c>
    </row>
    <row r="12" spans="1:6" x14ac:dyDescent="0.3">
      <c r="A12" s="31" t="s">
        <v>13</v>
      </c>
      <c r="B12" s="1795" t="s">
        <v>19</v>
      </c>
      <c r="C12" s="32">
        <v>77</v>
      </c>
      <c r="D12" s="32">
        <v>-6</v>
      </c>
      <c r="E12" s="32">
        <v>-7.2289156626505999</v>
      </c>
      <c r="F12" s="32">
        <v>0.72973974732239999</v>
      </c>
    </row>
    <row r="13" spans="1:6" x14ac:dyDescent="0.3">
      <c r="A13" s="33" t="s">
        <v>13</v>
      </c>
      <c r="B13" s="1795" t="s">
        <v>20</v>
      </c>
      <c r="C13" s="34">
        <v>253</v>
      </c>
      <c r="D13" s="34">
        <v>32</v>
      </c>
      <c r="E13" s="34">
        <v>14.4796380090498</v>
      </c>
      <c r="F13" s="34">
        <v>2.3977163126307399</v>
      </c>
    </row>
    <row r="14" spans="1:6" x14ac:dyDescent="0.3">
      <c r="A14" s="35" t="s">
        <v>21</v>
      </c>
      <c r="B14" s="1795" t="s">
        <v>22</v>
      </c>
      <c r="C14" s="36">
        <v>1353</v>
      </c>
      <c r="D14" s="36">
        <v>33</v>
      </c>
      <c r="E14" s="36">
        <v>2.5</v>
      </c>
      <c r="F14" s="36">
        <v>12.8225698458079</v>
      </c>
    </row>
    <row r="15" spans="1:6" x14ac:dyDescent="0.3">
      <c r="A15" s="37" t="s">
        <v>21</v>
      </c>
      <c r="B15" s="1795" t="s">
        <v>23</v>
      </c>
      <c r="C15" s="38">
        <v>137</v>
      </c>
      <c r="D15" s="38">
        <v>-1</v>
      </c>
      <c r="E15" s="38">
        <v>-0.72463768115941996</v>
      </c>
      <c r="F15" s="38">
        <v>1.2983681218593399</v>
      </c>
    </row>
    <row r="16" spans="1:6" x14ac:dyDescent="0.3">
      <c r="A16" s="39" t="s">
        <v>21</v>
      </c>
      <c r="B16" s="1795" t="s">
        <v>24</v>
      </c>
      <c r="C16" s="40">
        <v>32</v>
      </c>
      <c r="D16" s="40">
        <v>-1</v>
      </c>
      <c r="E16" s="40">
        <v>-3.0303030303030298</v>
      </c>
      <c r="F16" s="40">
        <v>0.30326846641969901</v>
      </c>
    </row>
    <row r="17" spans="1:6" x14ac:dyDescent="0.3">
      <c r="A17" s="41" t="s">
        <v>21</v>
      </c>
      <c r="B17" s="1795" t="s">
        <v>25</v>
      </c>
      <c r="C17" s="42">
        <v>105</v>
      </c>
      <c r="D17" s="42">
        <v>0</v>
      </c>
      <c r="E17" s="42">
        <v>0</v>
      </c>
      <c r="F17" s="42">
        <v>0.99509965543963597</v>
      </c>
    </row>
    <row r="18" spans="1:6" x14ac:dyDescent="0.3">
      <c r="A18" s="43" t="s">
        <v>21</v>
      </c>
      <c r="B18" s="1795" t="s">
        <v>26</v>
      </c>
      <c r="C18" s="44">
        <v>218</v>
      </c>
      <c r="D18" s="44">
        <v>0</v>
      </c>
      <c r="E18" s="44">
        <v>0</v>
      </c>
      <c r="F18" s="44">
        <v>2.0660164274841999</v>
      </c>
    </row>
    <row r="19" spans="1:6" x14ac:dyDescent="0.3">
      <c r="A19" s="45" t="s">
        <v>21</v>
      </c>
      <c r="B19" s="1795" t="s">
        <v>27</v>
      </c>
      <c r="C19" s="46">
        <v>61</v>
      </c>
      <c r="D19" s="46">
        <v>17</v>
      </c>
      <c r="E19" s="46">
        <v>38.636363636363598</v>
      </c>
      <c r="F19" s="46">
        <v>0.57810551411255096</v>
      </c>
    </row>
    <row r="20" spans="1:6" x14ac:dyDescent="0.3">
      <c r="A20" s="47" t="s">
        <v>21</v>
      </c>
      <c r="B20" s="1795" t="s">
        <v>28</v>
      </c>
      <c r="C20" s="48">
        <v>15</v>
      </c>
      <c r="D20" s="48">
        <v>-5</v>
      </c>
      <c r="E20" s="48">
        <v>-25</v>
      </c>
      <c r="F20" s="48">
        <v>0.14215709363423401</v>
      </c>
    </row>
    <row r="21" spans="1:6" x14ac:dyDescent="0.3">
      <c r="A21" s="49" t="s">
        <v>21</v>
      </c>
      <c r="B21" s="1795" t="s">
        <v>29</v>
      </c>
      <c r="C21" s="50">
        <v>50</v>
      </c>
      <c r="D21" s="50">
        <v>-1</v>
      </c>
      <c r="E21" s="50">
        <v>-1.9607843137254899</v>
      </c>
      <c r="F21" s="50">
        <v>0.47385697878077898</v>
      </c>
    </row>
    <row r="22" spans="1:6" x14ac:dyDescent="0.3">
      <c r="A22" s="51" t="s">
        <v>21</v>
      </c>
      <c r="B22" s="1795" t="s">
        <v>30</v>
      </c>
      <c r="C22" s="52">
        <v>92</v>
      </c>
      <c r="D22" s="52">
        <v>-11</v>
      </c>
      <c r="E22" s="52">
        <v>-10.6796116504854</v>
      </c>
      <c r="F22" s="52">
        <v>0.871896840956634</v>
      </c>
    </row>
    <row r="23" spans="1:6" x14ac:dyDescent="0.3">
      <c r="A23" s="53" t="s">
        <v>21</v>
      </c>
      <c r="B23" s="1795" t="s">
        <v>31</v>
      </c>
      <c r="C23" s="54">
        <v>998</v>
      </c>
      <c r="D23" s="54">
        <v>34</v>
      </c>
      <c r="E23" s="54">
        <v>3.5269709543568499</v>
      </c>
      <c r="F23" s="54">
        <v>9.4581852964643502</v>
      </c>
    </row>
    <row r="24" spans="1:6" x14ac:dyDescent="0.3">
      <c r="A24" s="55" t="s">
        <v>21</v>
      </c>
      <c r="B24" s="1795" t="s">
        <v>32</v>
      </c>
      <c r="C24" s="56">
        <v>23</v>
      </c>
      <c r="D24" s="56">
        <v>-9</v>
      </c>
      <c r="E24" s="56">
        <v>-28.125</v>
      </c>
      <c r="F24" s="56">
        <v>0.217974210239158</v>
      </c>
    </row>
    <row r="25" spans="1:6" x14ac:dyDescent="0.3">
      <c r="A25" s="57" t="s">
        <v>21</v>
      </c>
      <c r="B25" s="1795" t="s">
        <v>33</v>
      </c>
      <c r="C25" s="58">
        <v>29</v>
      </c>
      <c r="D25" s="58">
        <v>-5</v>
      </c>
      <c r="E25" s="58">
        <v>-14.705882352941201</v>
      </c>
      <c r="F25" s="58">
        <v>0.274837047692852</v>
      </c>
    </row>
    <row r="26" spans="1:6" x14ac:dyDescent="0.3">
      <c r="A26" s="59" t="s">
        <v>21</v>
      </c>
      <c r="B26" s="1795" t="s">
        <v>34</v>
      </c>
      <c r="C26" s="60">
        <v>168</v>
      </c>
      <c r="D26" s="60">
        <v>-73</v>
      </c>
      <c r="E26" s="60">
        <v>-30.290456431535301</v>
      </c>
      <c r="F26" s="60">
        <v>1.5921594487034201</v>
      </c>
    </row>
    <row r="27" spans="1:6" x14ac:dyDescent="0.3">
      <c r="A27" s="61" t="s">
        <v>21</v>
      </c>
      <c r="B27" s="1795" t="s">
        <v>35</v>
      </c>
      <c r="C27" s="62">
        <v>778</v>
      </c>
      <c r="D27" s="62">
        <v>121</v>
      </c>
      <c r="E27" s="62">
        <v>18.417047184170499</v>
      </c>
      <c r="F27" s="62">
        <v>7.3732145898289296</v>
      </c>
    </row>
    <row r="28" spans="1:6" x14ac:dyDescent="0.3">
      <c r="A28" s="63" t="s">
        <v>36</v>
      </c>
      <c r="B28" s="1795" t="s">
        <v>37</v>
      </c>
      <c r="C28" s="64">
        <v>1</v>
      </c>
      <c r="D28" s="64">
        <v>0</v>
      </c>
      <c r="E28" s="64">
        <v>0</v>
      </c>
      <c r="F28" s="64">
        <v>9.4771395756155907E-3</v>
      </c>
    </row>
    <row r="29" spans="1:6" x14ac:dyDescent="0.3">
      <c r="A29" s="65" t="s">
        <v>39</v>
      </c>
      <c r="B29" s="1795" t="s">
        <v>40</v>
      </c>
      <c r="C29" s="66">
        <v>88387</v>
      </c>
      <c r="D29" s="66">
        <v>2788</v>
      </c>
      <c r="E29" s="66">
        <v>3.2570473954135002</v>
      </c>
      <c r="F29" s="66">
        <v>837.65593566993505</v>
      </c>
    </row>
    <row r="30" spans="1:6" x14ac:dyDescent="0.3">
      <c r="A30" s="67" t="s">
        <v>39</v>
      </c>
      <c r="B30" s="1795" t="s">
        <v>41</v>
      </c>
      <c r="C30" s="68">
        <v>3905</v>
      </c>
      <c r="D30" s="68">
        <v>124</v>
      </c>
      <c r="E30" s="68">
        <v>3.2795556731023501</v>
      </c>
      <c r="F30" s="68">
        <v>37.008230042778898</v>
      </c>
    </row>
    <row r="31" spans="1:6" x14ac:dyDescent="0.3">
      <c r="A31" s="69" t="s">
        <v>39</v>
      </c>
      <c r="B31" s="1795" t="s">
        <v>42</v>
      </c>
      <c r="C31" s="70">
        <v>1633</v>
      </c>
      <c r="D31" s="70">
        <v>157</v>
      </c>
      <c r="E31" s="70">
        <v>10.6368563685637</v>
      </c>
      <c r="F31" s="70">
        <v>15.4761689269803</v>
      </c>
    </row>
    <row r="32" spans="1:6" x14ac:dyDescent="0.3">
      <c r="A32" s="71" t="s">
        <v>39</v>
      </c>
      <c r="B32" s="1795" t="s">
        <v>43</v>
      </c>
      <c r="C32" s="72">
        <v>1564</v>
      </c>
      <c r="D32" s="72">
        <v>127</v>
      </c>
      <c r="E32" s="72">
        <v>8.8378566457898398</v>
      </c>
      <c r="F32" s="72">
        <v>14.822246296262801</v>
      </c>
    </row>
    <row r="33" spans="1:6" x14ac:dyDescent="0.3">
      <c r="A33" s="73" t="s">
        <v>39</v>
      </c>
      <c r="B33" s="1795" t="s">
        <v>44</v>
      </c>
      <c r="C33" s="74">
        <v>98</v>
      </c>
      <c r="D33" s="74">
        <v>17</v>
      </c>
      <c r="E33" s="74">
        <v>20.987654320987701</v>
      </c>
      <c r="F33" s="74">
        <v>0.92875967841032703</v>
      </c>
    </row>
    <row r="34" spans="1:6" x14ac:dyDescent="0.3">
      <c r="A34" s="75" t="s">
        <v>39</v>
      </c>
      <c r="B34" s="1795" t="s">
        <v>45</v>
      </c>
      <c r="C34" s="76">
        <v>1466</v>
      </c>
      <c r="D34" s="76">
        <v>110</v>
      </c>
      <c r="E34" s="76">
        <v>8.1120943952802396</v>
      </c>
      <c r="F34" s="76">
        <v>13.8934866178524</v>
      </c>
    </row>
    <row r="35" spans="1:6" x14ac:dyDescent="0.3">
      <c r="A35" s="77" t="s">
        <v>39</v>
      </c>
      <c r="B35" s="1795" t="s">
        <v>46</v>
      </c>
      <c r="C35" s="78">
        <v>69</v>
      </c>
      <c r="D35" s="78">
        <v>30</v>
      </c>
      <c r="E35" s="78">
        <v>76.923076923076906</v>
      </c>
      <c r="F35" s="78">
        <v>0.65392263071747503</v>
      </c>
    </row>
    <row r="36" spans="1:6" x14ac:dyDescent="0.3">
      <c r="A36" s="79" t="s">
        <v>39</v>
      </c>
      <c r="B36" s="1795" t="s">
        <v>47</v>
      </c>
      <c r="C36" s="80">
        <v>35</v>
      </c>
      <c r="D36" s="80">
        <v>15</v>
      </c>
      <c r="E36" s="80">
        <v>75</v>
      </c>
      <c r="F36" s="80">
        <v>0.33169988514654503</v>
      </c>
    </row>
    <row r="37" spans="1:6" x14ac:dyDescent="0.3">
      <c r="A37" s="81" t="s">
        <v>39</v>
      </c>
      <c r="B37" s="1795" t="s">
        <v>48</v>
      </c>
      <c r="C37" s="82">
        <v>34</v>
      </c>
      <c r="D37" s="82">
        <v>15</v>
      </c>
      <c r="E37" s="82">
        <v>78.947368421052602</v>
      </c>
      <c r="F37" s="82">
        <v>0.32222274557093</v>
      </c>
    </row>
    <row r="38" spans="1:6" x14ac:dyDescent="0.3">
      <c r="A38" s="83" t="s">
        <v>39</v>
      </c>
      <c r="B38" s="1795" t="s">
        <v>49</v>
      </c>
      <c r="C38" s="84">
        <v>2272</v>
      </c>
      <c r="D38" s="84">
        <v>-33</v>
      </c>
      <c r="E38" s="84">
        <v>-1.4316702819956599</v>
      </c>
      <c r="F38" s="84">
        <v>21.532061115798601</v>
      </c>
    </row>
    <row r="39" spans="1:6" x14ac:dyDescent="0.3">
      <c r="A39" s="85" t="s">
        <v>39</v>
      </c>
      <c r="B39" s="1795" t="s">
        <v>50</v>
      </c>
      <c r="C39" s="86">
        <v>2183</v>
      </c>
      <c r="D39" s="86">
        <v>-32</v>
      </c>
      <c r="E39" s="86">
        <v>-1.4446952595936799</v>
      </c>
      <c r="F39" s="86">
        <v>20.6885956935688</v>
      </c>
    </row>
    <row r="40" spans="1:6" x14ac:dyDescent="0.3">
      <c r="A40" s="87" t="s">
        <v>39</v>
      </c>
      <c r="B40" s="1795" t="s">
        <v>51</v>
      </c>
      <c r="C40" s="88">
        <v>175</v>
      </c>
      <c r="D40" s="88">
        <v>18</v>
      </c>
      <c r="E40" s="88">
        <v>11.4649681528662</v>
      </c>
      <c r="F40" s="88">
        <v>1.6584994257327299</v>
      </c>
    </row>
    <row r="41" spans="1:6" x14ac:dyDescent="0.3">
      <c r="A41" s="89" t="s">
        <v>39</v>
      </c>
      <c r="B41" s="1795" t="s">
        <v>52</v>
      </c>
      <c r="C41" s="90">
        <v>2008</v>
      </c>
      <c r="D41" s="90">
        <v>-50</v>
      </c>
      <c r="E41" s="90">
        <v>-2.4295432458697799</v>
      </c>
      <c r="F41" s="90">
        <v>19.0300962678361</v>
      </c>
    </row>
    <row r="42" spans="1:6" x14ac:dyDescent="0.3">
      <c r="A42" s="91" t="s">
        <v>39</v>
      </c>
      <c r="B42" s="1795" t="s">
        <v>53</v>
      </c>
      <c r="C42" s="92">
        <v>89</v>
      </c>
      <c r="D42" s="92">
        <v>-1</v>
      </c>
      <c r="E42" s="92">
        <v>-1.1111111111111101</v>
      </c>
      <c r="F42" s="92">
        <v>0.84346542222978704</v>
      </c>
    </row>
    <row r="43" spans="1:6" x14ac:dyDescent="0.3">
      <c r="A43" s="93" t="s">
        <v>39</v>
      </c>
      <c r="B43" s="1795" t="s">
        <v>54</v>
      </c>
      <c r="C43" s="94">
        <v>59</v>
      </c>
      <c r="D43" s="94">
        <v>2</v>
      </c>
      <c r="E43" s="94">
        <v>3.5087719298245599</v>
      </c>
      <c r="F43" s="94">
        <v>0.55915123496132002</v>
      </c>
    </row>
    <row r="44" spans="1:6" x14ac:dyDescent="0.3">
      <c r="A44" s="95" t="s">
        <v>39</v>
      </c>
      <c r="B44" s="1795" t="s">
        <v>55</v>
      </c>
      <c r="C44" s="96">
        <v>30</v>
      </c>
      <c r="D44" s="96">
        <v>-3</v>
      </c>
      <c r="E44" s="96">
        <v>-9.0909090909090899</v>
      </c>
      <c r="F44" s="96">
        <v>0.28431418726846802</v>
      </c>
    </row>
    <row r="45" spans="1:6" x14ac:dyDescent="0.3">
      <c r="A45" s="97" t="s">
        <v>39</v>
      </c>
      <c r="B45" s="1795" t="s">
        <v>56</v>
      </c>
      <c r="C45" s="98">
        <v>14735</v>
      </c>
      <c r="D45" s="98">
        <v>594</v>
      </c>
      <c r="E45" s="98">
        <v>4.2005515875822104</v>
      </c>
      <c r="F45" s="98">
        <v>139.645651646696</v>
      </c>
    </row>
    <row r="46" spans="1:6" x14ac:dyDescent="0.3">
      <c r="A46" s="99" t="s">
        <v>39</v>
      </c>
      <c r="B46" s="1795" t="s">
        <v>57</v>
      </c>
      <c r="C46" s="100">
        <v>5729</v>
      </c>
      <c r="D46" s="100">
        <v>313</v>
      </c>
      <c r="E46" s="100">
        <v>5.7791728212703104</v>
      </c>
      <c r="F46" s="100">
        <v>54.294532628701702</v>
      </c>
    </row>
    <row r="47" spans="1:6" x14ac:dyDescent="0.3">
      <c r="A47" s="101" t="s">
        <v>39</v>
      </c>
      <c r="B47" s="1795" t="s">
        <v>58</v>
      </c>
      <c r="C47" s="102">
        <v>5142</v>
      </c>
      <c r="D47" s="102">
        <v>353</v>
      </c>
      <c r="E47" s="102">
        <v>7.3710586761328001</v>
      </c>
      <c r="F47" s="102">
        <v>48.731451697815302</v>
      </c>
    </row>
    <row r="48" spans="1:6" x14ac:dyDescent="0.3">
      <c r="A48" s="103" t="s">
        <v>39</v>
      </c>
      <c r="B48" s="1795" t="s">
        <v>59</v>
      </c>
      <c r="C48" s="104">
        <v>1074</v>
      </c>
      <c r="D48" s="104">
        <v>141</v>
      </c>
      <c r="E48" s="104">
        <v>15.112540192926</v>
      </c>
      <c r="F48" s="104">
        <v>10.178447904211099</v>
      </c>
    </row>
    <row r="49" spans="1:6" x14ac:dyDescent="0.3">
      <c r="A49" s="105" t="s">
        <v>39</v>
      </c>
      <c r="B49" s="1795" t="s">
        <v>60</v>
      </c>
      <c r="C49" s="106">
        <v>4068</v>
      </c>
      <c r="D49" s="106">
        <v>212</v>
      </c>
      <c r="E49" s="106">
        <v>5.4979253112033204</v>
      </c>
      <c r="F49" s="106">
        <v>38.553003793604198</v>
      </c>
    </row>
    <row r="50" spans="1:6" x14ac:dyDescent="0.3">
      <c r="A50" s="107" t="s">
        <v>39</v>
      </c>
      <c r="B50" s="1795" t="s">
        <v>61</v>
      </c>
      <c r="C50" s="108">
        <v>587</v>
      </c>
      <c r="D50" s="108">
        <v>-40</v>
      </c>
      <c r="E50" s="108">
        <v>-6.3795853269537499</v>
      </c>
      <c r="F50" s="108">
        <v>5.5630809308863496</v>
      </c>
    </row>
    <row r="51" spans="1:6" x14ac:dyDescent="0.3">
      <c r="A51" s="109" t="s">
        <v>39</v>
      </c>
      <c r="B51" s="1795" t="s">
        <v>62</v>
      </c>
      <c r="C51" s="110">
        <v>391</v>
      </c>
      <c r="D51" s="110">
        <v>-48</v>
      </c>
      <c r="E51" s="110">
        <v>-10.9339407744875</v>
      </c>
      <c r="F51" s="110">
        <v>3.70556157406569</v>
      </c>
    </row>
    <row r="52" spans="1:6" x14ac:dyDescent="0.3">
      <c r="A52" s="111" t="s">
        <v>39</v>
      </c>
      <c r="B52" s="1795" t="s">
        <v>63</v>
      </c>
      <c r="C52" s="112">
        <v>196</v>
      </c>
      <c r="D52" s="112">
        <v>8</v>
      </c>
      <c r="E52" s="112">
        <v>4.2553191489361701</v>
      </c>
      <c r="F52" s="112">
        <v>1.8575193568206501</v>
      </c>
    </row>
    <row r="53" spans="1:6" x14ac:dyDescent="0.3">
      <c r="A53" s="113" t="s">
        <v>39</v>
      </c>
      <c r="B53" s="1795" t="s">
        <v>64</v>
      </c>
      <c r="C53" s="114">
        <v>9006</v>
      </c>
      <c r="D53" s="114">
        <v>281</v>
      </c>
      <c r="E53" s="114">
        <v>3.22063037249284</v>
      </c>
      <c r="F53" s="114">
        <v>85.351119017993994</v>
      </c>
    </row>
    <row r="54" spans="1:6" x14ac:dyDescent="0.3">
      <c r="A54" s="115" t="s">
        <v>39</v>
      </c>
      <c r="B54" s="1795" t="s">
        <v>65</v>
      </c>
      <c r="C54" s="116">
        <v>7489</v>
      </c>
      <c r="D54" s="116">
        <v>372</v>
      </c>
      <c r="E54" s="116">
        <v>5.2269214556695198</v>
      </c>
      <c r="F54" s="116">
        <v>70.974298281785096</v>
      </c>
    </row>
    <row r="55" spans="1:6" x14ac:dyDescent="0.3">
      <c r="A55" s="117" t="s">
        <v>39</v>
      </c>
      <c r="B55" s="1795" t="s">
        <v>66</v>
      </c>
      <c r="C55" s="118">
        <v>2148</v>
      </c>
      <c r="D55" s="118">
        <v>147</v>
      </c>
      <c r="E55" s="118">
        <v>7.34632683658171</v>
      </c>
      <c r="F55" s="118">
        <v>20.356895808422301</v>
      </c>
    </row>
    <row r="56" spans="1:6" x14ac:dyDescent="0.3">
      <c r="A56" s="119" t="s">
        <v>39</v>
      </c>
      <c r="B56" s="1795" t="s">
        <v>67</v>
      </c>
      <c r="C56" s="120">
        <v>5341</v>
      </c>
      <c r="D56" s="120">
        <v>225</v>
      </c>
      <c r="E56" s="120">
        <v>4.3979671618451901</v>
      </c>
      <c r="F56" s="120">
        <v>50.617402473362802</v>
      </c>
    </row>
    <row r="57" spans="1:6" x14ac:dyDescent="0.3">
      <c r="A57" s="121" t="s">
        <v>39</v>
      </c>
      <c r="B57" s="1795" t="s">
        <v>68</v>
      </c>
      <c r="C57" s="122">
        <v>1517</v>
      </c>
      <c r="D57" s="122">
        <v>-91</v>
      </c>
      <c r="E57" s="122">
        <v>-5.6592039800995</v>
      </c>
      <c r="F57" s="122">
        <v>14.376820736208799</v>
      </c>
    </row>
    <row r="58" spans="1:6" x14ac:dyDescent="0.3">
      <c r="A58" s="123" t="s">
        <v>39</v>
      </c>
      <c r="B58" s="1795" t="s">
        <v>69</v>
      </c>
      <c r="C58" s="124">
        <v>1102</v>
      </c>
      <c r="D58" s="124">
        <v>-71</v>
      </c>
      <c r="E58" s="124">
        <v>-6.0528559249786902</v>
      </c>
      <c r="F58" s="124">
        <v>10.4438078123284</v>
      </c>
    </row>
    <row r="59" spans="1:6" x14ac:dyDescent="0.3">
      <c r="A59" s="125" t="s">
        <v>39</v>
      </c>
      <c r="B59" s="1795" t="s">
        <v>70</v>
      </c>
      <c r="C59" s="126">
        <v>415</v>
      </c>
      <c r="D59" s="126">
        <v>-20</v>
      </c>
      <c r="E59" s="126">
        <v>-4.5977011494252897</v>
      </c>
      <c r="F59" s="126">
        <v>3.9330129238804701</v>
      </c>
    </row>
    <row r="60" spans="1:6" x14ac:dyDescent="0.3">
      <c r="A60" s="127" t="s">
        <v>39</v>
      </c>
      <c r="B60" s="1795" t="s">
        <v>71</v>
      </c>
      <c r="C60" s="128">
        <v>7142</v>
      </c>
      <c r="D60" s="128">
        <v>137</v>
      </c>
      <c r="E60" s="128">
        <v>1.9557458957887199</v>
      </c>
      <c r="F60" s="128">
        <v>67.685730849046493</v>
      </c>
    </row>
    <row r="61" spans="1:6" x14ac:dyDescent="0.3">
      <c r="A61" s="129" t="s">
        <v>39</v>
      </c>
      <c r="B61" s="1795" t="s">
        <v>72</v>
      </c>
      <c r="C61" s="130">
        <v>2861</v>
      </c>
      <c r="D61" s="130">
        <v>148</v>
      </c>
      <c r="E61" s="130">
        <v>5.4552156284555799</v>
      </c>
      <c r="F61" s="130">
        <v>27.114096325836201</v>
      </c>
    </row>
    <row r="62" spans="1:6" x14ac:dyDescent="0.3">
      <c r="A62" s="131" t="s">
        <v>39</v>
      </c>
      <c r="B62" s="1795" t="s">
        <v>73</v>
      </c>
      <c r="C62" s="132">
        <v>2349</v>
      </c>
      <c r="D62" s="132">
        <v>184</v>
      </c>
      <c r="E62" s="132">
        <v>8.4988452655889102</v>
      </c>
      <c r="F62" s="132">
        <v>22.261800863121</v>
      </c>
    </row>
    <row r="63" spans="1:6" x14ac:dyDescent="0.3">
      <c r="A63" s="133" t="s">
        <v>39</v>
      </c>
      <c r="B63" s="1795" t="s">
        <v>74</v>
      </c>
      <c r="C63" s="134">
        <v>627</v>
      </c>
      <c r="D63" s="134">
        <v>47</v>
      </c>
      <c r="E63" s="134">
        <v>8.1034482758620694</v>
      </c>
      <c r="F63" s="134">
        <v>5.9421665139109701</v>
      </c>
    </row>
    <row r="64" spans="1:6" x14ac:dyDescent="0.3">
      <c r="A64" s="135" t="s">
        <v>39</v>
      </c>
      <c r="B64" s="1795" t="s">
        <v>75</v>
      </c>
      <c r="C64" s="136">
        <v>1722</v>
      </c>
      <c r="D64" s="136">
        <v>137</v>
      </c>
      <c r="E64" s="136">
        <v>8.6435331230283907</v>
      </c>
      <c r="F64" s="136">
        <v>16.319634349209998</v>
      </c>
    </row>
    <row r="65" spans="1:6" x14ac:dyDescent="0.3">
      <c r="A65" s="137" t="s">
        <v>39</v>
      </c>
      <c r="B65" s="1795" t="s">
        <v>76</v>
      </c>
      <c r="C65" s="138">
        <v>512</v>
      </c>
      <c r="D65" s="138">
        <v>-36</v>
      </c>
      <c r="E65" s="138">
        <v>-6.5693430656934302</v>
      </c>
      <c r="F65" s="138">
        <v>4.8522954627151798</v>
      </c>
    </row>
    <row r="66" spans="1:6" x14ac:dyDescent="0.3">
      <c r="A66" s="139" t="s">
        <v>39</v>
      </c>
      <c r="B66" s="1795" t="s">
        <v>77</v>
      </c>
      <c r="C66" s="140">
        <v>345</v>
      </c>
      <c r="D66" s="140">
        <v>17</v>
      </c>
      <c r="E66" s="140">
        <v>5.1829268292682897</v>
      </c>
      <c r="F66" s="140">
        <v>3.2696131535873798</v>
      </c>
    </row>
    <row r="67" spans="1:6" x14ac:dyDescent="0.3">
      <c r="A67" s="141" t="s">
        <v>39</v>
      </c>
      <c r="B67" s="1795" t="s">
        <v>78</v>
      </c>
      <c r="C67" s="142">
        <v>167</v>
      </c>
      <c r="D67" s="142">
        <v>-53</v>
      </c>
      <c r="E67" s="142">
        <v>-24.090909090909101</v>
      </c>
      <c r="F67" s="142">
        <v>1.5826823091277999</v>
      </c>
    </row>
    <row r="68" spans="1:6" x14ac:dyDescent="0.3">
      <c r="A68" s="143" t="s">
        <v>39</v>
      </c>
      <c r="B68" s="1795" t="s">
        <v>79</v>
      </c>
      <c r="C68" s="144">
        <v>4281</v>
      </c>
      <c r="D68" s="144">
        <v>-11</v>
      </c>
      <c r="E68" s="144">
        <v>-0.25629077353215302</v>
      </c>
      <c r="F68" s="144">
        <v>40.5716345232103</v>
      </c>
    </row>
    <row r="69" spans="1:6" x14ac:dyDescent="0.3">
      <c r="A69" s="145" t="s">
        <v>39</v>
      </c>
      <c r="B69" s="1795" t="s">
        <v>80</v>
      </c>
      <c r="C69" s="146">
        <v>2637</v>
      </c>
      <c r="D69" s="146">
        <v>-8</v>
      </c>
      <c r="E69" s="146">
        <v>-0.302457466918715</v>
      </c>
      <c r="F69" s="146">
        <v>24.9912170608983</v>
      </c>
    </row>
    <row r="70" spans="1:6" x14ac:dyDescent="0.3">
      <c r="A70" s="147" t="s">
        <v>39</v>
      </c>
      <c r="B70" s="1795" t="s">
        <v>81</v>
      </c>
      <c r="C70" s="148">
        <v>1123</v>
      </c>
      <c r="D70" s="148">
        <v>41</v>
      </c>
      <c r="E70" s="148">
        <v>3.7892791127541599</v>
      </c>
      <c r="F70" s="148">
        <v>10.6428277434163</v>
      </c>
    </row>
    <row r="71" spans="1:6" x14ac:dyDescent="0.3">
      <c r="A71" s="149" t="s">
        <v>39</v>
      </c>
      <c r="B71" s="1795" t="s">
        <v>82</v>
      </c>
      <c r="C71" s="150">
        <v>1514</v>
      </c>
      <c r="D71" s="150">
        <v>-49</v>
      </c>
      <c r="E71" s="150">
        <v>-3.1349968010236702</v>
      </c>
      <c r="F71" s="150">
        <v>14.348389317482001</v>
      </c>
    </row>
    <row r="72" spans="1:6" x14ac:dyDescent="0.3">
      <c r="A72" s="151" t="s">
        <v>39</v>
      </c>
      <c r="B72" s="1795" t="s">
        <v>83</v>
      </c>
      <c r="C72" s="152">
        <v>1644</v>
      </c>
      <c r="D72" s="152">
        <v>-3</v>
      </c>
      <c r="E72" s="152">
        <v>-0.18214936247723101</v>
      </c>
      <c r="F72" s="152">
        <v>15.580417462312001</v>
      </c>
    </row>
    <row r="73" spans="1:6" x14ac:dyDescent="0.3">
      <c r="A73" s="153" t="s">
        <v>39</v>
      </c>
      <c r="B73" s="1795" t="s">
        <v>84</v>
      </c>
      <c r="C73" s="154">
        <v>1243</v>
      </c>
      <c r="D73" s="154">
        <v>-22</v>
      </c>
      <c r="E73" s="154">
        <v>-1.73913043478261</v>
      </c>
      <c r="F73" s="154">
        <v>11.7800844924902</v>
      </c>
    </row>
    <row r="74" spans="1:6" x14ac:dyDescent="0.3">
      <c r="A74" s="155" t="s">
        <v>39</v>
      </c>
      <c r="B74" s="1795" t="s">
        <v>85</v>
      </c>
      <c r="C74" s="156">
        <v>401</v>
      </c>
      <c r="D74" s="156">
        <v>19</v>
      </c>
      <c r="E74" s="156">
        <v>4.9738219895288003</v>
      </c>
      <c r="F74" s="156">
        <v>3.80033296982185</v>
      </c>
    </row>
    <row r="75" spans="1:6" x14ac:dyDescent="0.3">
      <c r="A75" s="157" t="s">
        <v>39</v>
      </c>
      <c r="B75" s="1795" t="s">
        <v>26</v>
      </c>
      <c r="C75" s="158">
        <v>31539</v>
      </c>
      <c r="D75" s="158">
        <v>1382</v>
      </c>
      <c r="E75" s="158">
        <v>4.5826839539742004</v>
      </c>
      <c r="F75" s="158">
        <v>298.89950507534002</v>
      </c>
    </row>
    <row r="76" spans="1:6" x14ac:dyDescent="0.3">
      <c r="A76" s="159" t="s">
        <v>39</v>
      </c>
      <c r="B76" s="1795" t="s">
        <v>86</v>
      </c>
      <c r="C76" s="160">
        <v>25483</v>
      </c>
      <c r="D76" s="160">
        <v>1240</v>
      </c>
      <c r="E76" s="160">
        <v>5.1148785216351103</v>
      </c>
      <c r="F76" s="160">
        <v>241.50594780541201</v>
      </c>
    </row>
    <row r="77" spans="1:6" x14ac:dyDescent="0.3">
      <c r="A77" s="161" t="s">
        <v>39</v>
      </c>
      <c r="B77" s="1795" t="s">
        <v>87</v>
      </c>
      <c r="C77" s="162">
        <v>3897</v>
      </c>
      <c r="D77" s="162">
        <v>29</v>
      </c>
      <c r="E77" s="162">
        <v>0.74974146845915202</v>
      </c>
      <c r="F77" s="162">
        <v>36.932412926173903</v>
      </c>
    </row>
    <row r="78" spans="1:6" x14ac:dyDescent="0.3">
      <c r="A78" s="163" t="s">
        <v>39</v>
      </c>
      <c r="B78" s="1795" t="s">
        <v>88</v>
      </c>
      <c r="C78" s="164">
        <v>21586</v>
      </c>
      <c r="D78" s="164">
        <v>1211</v>
      </c>
      <c r="E78" s="164">
        <v>5.9435582822085902</v>
      </c>
      <c r="F78" s="164">
        <v>204.573534879238</v>
      </c>
    </row>
    <row r="79" spans="1:6" x14ac:dyDescent="0.3">
      <c r="A79" s="165" t="s">
        <v>39</v>
      </c>
      <c r="B79" s="1795" t="s">
        <v>89</v>
      </c>
      <c r="C79" s="166">
        <v>6056</v>
      </c>
      <c r="D79" s="166">
        <v>142</v>
      </c>
      <c r="E79" s="166">
        <v>2.4010821778829898</v>
      </c>
      <c r="F79" s="166">
        <v>57.393557269928003</v>
      </c>
    </row>
    <row r="80" spans="1:6" x14ac:dyDescent="0.3">
      <c r="A80" s="167" t="s">
        <v>39</v>
      </c>
      <c r="B80" s="1795" t="s">
        <v>90</v>
      </c>
      <c r="C80" s="168">
        <v>3081</v>
      </c>
      <c r="D80" s="168">
        <v>114</v>
      </c>
      <c r="E80" s="168">
        <v>3.8422649140546001</v>
      </c>
      <c r="F80" s="168">
        <v>29.1990670324716</v>
      </c>
    </row>
    <row r="81" spans="1:6" x14ac:dyDescent="0.3">
      <c r="A81" s="169" t="s">
        <v>39</v>
      </c>
      <c r="B81" s="1795" t="s">
        <v>91</v>
      </c>
      <c r="C81" s="170">
        <v>2975</v>
      </c>
      <c r="D81" s="170">
        <v>28</v>
      </c>
      <c r="E81" s="170">
        <v>0.95011876484560598</v>
      </c>
      <c r="F81" s="170">
        <v>28.194490237456399</v>
      </c>
    </row>
    <row r="82" spans="1:6" x14ac:dyDescent="0.3">
      <c r="A82" s="171" t="s">
        <v>39</v>
      </c>
      <c r="B82" s="1795" t="s">
        <v>31</v>
      </c>
      <c r="C82" s="172">
        <v>31066</v>
      </c>
      <c r="D82" s="172">
        <v>551</v>
      </c>
      <c r="E82" s="172">
        <v>1.8056693429460899</v>
      </c>
      <c r="F82" s="172">
        <v>294.41681805607402</v>
      </c>
    </row>
    <row r="83" spans="1:6" x14ac:dyDescent="0.3">
      <c r="A83" s="173" t="s">
        <v>39</v>
      </c>
      <c r="B83" s="1795" t="s">
        <v>92</v>
      </c>
      <c r="C83" s="174">
        <v>13762</v>
      </c>
      <c r="D83" s="174">
        <v>565</v>
      </c>
      <c r="E83" s="174">
        <v>4.2812760475865703</v>
      </c>
      <c r="F83" s="174">
        <v>130.42439483962201</v>
      </c>
    </row>
    <row r="84" spans="1:6" x14ac:dyDescent="0.3">
      <c r="A84" s="175" t="s">
        <v>39</v>
      </c>
      <c r="B84" s="1795" t="s">
        <v>93</v>
      </c>
      <c r="C84" s="176">
        <v>4394</v>
      </c>
      <c r="D84" s="176">
        <v>99</v>
      </c>
      <c r="E84" s="176">
        <v>2.3050058207217701</v>
      </c>
      <c r="F84" s="176">
        <v>41.642551295254897</v>
      </c>
    </row>
    <row r="85" spans="1:6" x14ac:dyDescent="0.3">
      <c r="A85" s="177" t="s">
        <v>39</v>
      </c>
      <c r="B85" s="1795" t="s">
        <v>94</v>
      </c>
      <c r="C85" s="178">
        <v>9368</v>
      </c>
      <c r="D85" s="178">
        <v>466</v>
      </c>
      <c r="E85" s="178">
        <v>5.2347787014154097</v>
      </c>
      <c r="F85" s="178">
        <v>88.781843544366794</v>
      </c>
    </row>
    <row r="86" spans="1:6" x14ac:dyDescent="0.3">
      <c r="A86" s="179" t="s">
        <v>39</v>
      </c>
      <c r="B86" s="1795" t="s">
        <v>95</v>
      </c>
      <c r="C86" s="180">
        <v>17304</v>
      </c>
      <c r="D86" s="180">
        <v>-14</v>
      </c>
      <c r="E86" s="180">
        <v>-8.0840743734842402E-2</v>
      </c>
      <c r="F86" s="180">
        <v>163.99242321645201</v>
      </c>
    </row>
    <row r="87" spans="1:6" x14ac:dyDescent="0.3">
      <c r="A87" s="181" t="s">
        <v>39</v>
      </c>
      <c r="B87" s="1795" t="s">
        <v>96</v>
      </c>
      <c r="C87" s="182">
        <v>11825</v>
      </c>
      <c r="D87" s="182">
        <v>100</v>
      </c>
      <c r="E87" s="182">
        <v>0.85287846481876295</v>
      </c>
      <c r="F87" s="182">
        <v>112.067175481654</v>
      </c>
    </row>
    <row r="88" spans="1:6" x14ac:dyDescent="0.3">
      <c r="A88" s="183" t="s">
        <v>39</v>
      </c>
      <c r="B88" s="1795" t="s">
        <v>97</v>
      </c>
      <c r="C88" s="184">
        <v>5479</v>
      </c>
      <c r="D88" s="184">
        <v>-114</v>
      </c>
      <c r="E88" s="184">
        <v>-2.0382621133559802</v>
      </c>
      <c r="F88" s="184">
        <v>51.9252477347978</v>
      </c>
    </row>
    <row r="89" spans="1:6" x14ac:dyDescent="0.3">
      <c r="A89" s="185" t="s">
        <v>98</v>
      </c>
      <c r="B89" s="1795" t="s">
        <v>99</v>
      </c>
      <c r="C89" s="186">
        <v>342</v>
      </c>
      <c r="D89" s="186">
        <v>-14</v>
      </c>
      <c r="E89" s="186">
        <v>-3.9325842696629199</v>
      </c>
      <c r="F89" s="186">
        <v>3.2411817348605299</v>
      </c>
    </row>
    <row r="90" spans="1:6" x14ac:dyDescent="0.3">
      <c r="A90" s="187" t="s">
        <v>98</v>
      </c>
      <c r="B90" s="1795" t="s">
        <v>100</v>
      </c>
      <c r="C90" s="188">
        <v>118</v>
      </c>
      <c r="D90" s="188">
        <v>14</v>
      </c>
      <c r="E90" s="188">
        <v>13.461538461538501</v>
      </c>
      <c r="F90" s="188">
        <v>1.11830246992264</v>
      </c>
    </row>
    <row r="91" spans="1:6" x14ac:dyDescent="0.3">
      <c r="A91" s="189" t="s">
        <v>98</v>
      </c>
      <c r="B91" s="1795" t="s">
        <v>101</v>
      </c>
      <c r="C91" s="190">
        <v>39</v>
      </c>
      <c r="D91" s="190">
        <v>-16</v>
      </c>
      <c r="E91" s="190">
        <v>-29.090909090909101</v>
      </c>
      <c r="F91" s="190">
        <v>0.36960844344900801</v>
      </c>
    </row>
    <row r="92" spans="1:6" x14ac:dyDescent="0.3">
      <c r="A92" s="191" t="s">
        <v>98</v>
      </c>
      <c r="B92" s="1795" t="s">
        <v>102</v>
      </c>
      <c r="C92" s="192">
        <v>185</v>
      </c>
      <c r="D92" s="192">
        <v>-12</v>
      </c>
      <c r="E92" s="192">
        <v>-6.0913705583756403</v>
      </c>
      <c r="F92" s="192">
        <v>1.7532708214888799</v>
      </c>
    </row>
    <row r="93" spans="1:6" x14ac:dyDescent="0.3">
      <c r="A93" s="193" t="s">
        <v>103</v>
      </c>
      <c r="B93" s="1795" t="s">
        <v>104</v>
      </c>
      <c r="C93" s="194">
        <v>3922</v>
      </c>
      <c r="D93" s="194">
        <v>252</v>
      </c>
      <c r="E93" s="194">
        <v>6.8664850136239801</v>
      </c>
      <c r="F93" s="194">
        <v>37.169341415564297</v>
      </c>
    </row>
    <row r="94" spans="1:6" x14ac:dyDescent="0.3">
      <c r="A94" s="195" t="s">
        <v>103</v>
      </c>
      <c r="B94" s="1795" t="s">
        <v>101</v>
      </c>
      <c r="C94" s="196">
        <v>1784</v>
      </c>
      <c r="D94" s="196">
        <v>-97</v>
      </c>
      <c r="E94" s="196">
        <v>-5.1568314726209499</v>
      </c>
      <c r="F94" s="196">
        <v>16.9072170028982</v>
      </c>
    </row>
    <row r="95" spans="1:6" x14ac:dyDescent="0.3">
      <c r="A95" s="197" t="s">
        <v>103</v>
      </c>
      <c r="B95" s="1795" t="s">
        <v>102</v>
      </c>
      <c r="C95" s="198">
        <v>2138</v>
      </c>
      <c r="D95" s="198">
        <v>349</v>
      </c>
      <c r="E95" s="198">
        <v>19.508105086640601</v>
      </c>
      <c r="F95" s="198">
        <v>20.2621244126661</v>
      </c>
    </row>
    <row r="96" spans="1:6" x14ac:dyDescent="0.3">
      <c r="A96" s="199" t="s">
        <v>105</v>
      </c>
      <c r="B96" s="1795" t="s">
        <v>106</v>
      </c>
      <c r="C96" s="200">
        <v>1003</v>
      </c>
      <c r="D96" s="200">
        <v>-69</v>
      </c>
      <c r="E96" s="200">
        <v>-6.4365671641791096</v>
      </c>
      <c r="F96" s="200">
        <v>9.5055709943424294</v>
      </c>
    </row>
    <row r="97" spans="1:6" x14ac:dyDescent="0.3">
      <c r="A97" s="201" t="s">
        <v>105</v>
      </c>
      <c r="B97" s="1795" t="s">
        <v>107</v>
      </c>
      <c r="C97" s="202">
        <v>113</v>
      </c>
      <c r="D97" s="202">
        <v>-17</v>
      </c>
      <c r="E97" s="202">
        <v>-13.0769230769231</v>
      </c>
      <c r="F97" s="202">
        <v>1.07091677204456</v>
      </c>
    </row>
    <row r="98" spans="1:6" x14ac:dyDescent="0.3">
      <c r="A98" s="203" t="s">
        <v>105</v>
      </c>
      <c r="B98" s="1795" t="s">
        <v>102</v>
      </c>
      <c r="C98" s="204">
        <v>890</v>
      </c>
      <c r="D98" s="204">
        <v>-52</v>
      </c>
      <c r="E98" s="204">
        <v>-5.5201698513800403</v>
      </c>
      <c r="F98" s="204">
        <v>8.4346542222978709</v>
      </c>
    </row>
    <row r="99" spans="1:6" x14ac:dyDescent="0.3">
      <c r="A99" s="205" t="s">
        <v>108</v>
      </c>
      <c r="B99" s="19" t="s">
        <v>109</v>
      </c>
      <c r="C99" s="206">
        <v>175305</v>
      </c>
      <c r="D99" s="206">
        <v>9832</v>
      </c>
      <c r="E99" s="206">
        <v>5.9417548482229696</v>
      </c>
      <c r="F99" s="206">
        <v>1661.38995330329</v>
      </c>
    </row>
    <row r="100" spans="1:6" x14ac:dyDescent="0.3">
      <c r="A100" s="207" t="s">
        <v>110</v>
      </c>
      <c r="B100" s="1795" t="s">
        <v>111</v>
      </c>
      <c r="C100" s="208">
        <v>471</v>
      </c>
      <c r="D100" s="208">
        <v>4</v>
      </c>
      <c r="E100" s="208">
        <v>0.85653104925053503</v>
      </c>
      <c r="F100" s="208">
        <v>4.4637327401149403</v>
      </c>
    </row>
    <row r="101" spans="1:6" x14ac:dyDescent="0.3">
      <c r="A101" s="209" t="s">
        <v>112</v>
      </c>
      <c r="B101" s="1795" t="s">
        <v>113</v>
      </c>
      <c r="C101" s="210">
        <v>184</v>
      </c>
      <c r="D101" s="210">
        <v>-42</v>
      </c>
      <c r="E101" s="210">
        <v>-18.5840707964602</v>
      </c>
      <c r="F101" s="210">
        <v>1.74379368191327</v>
      </c>
    </row>
    <row r="102" spans="1:6" x14ac:dyDescent="0.3">
      <c r="A102" s="211" t="s">
        <v>112</v>
      </c>
      <c r="B102" s="1795" t="s">
        <v>114</v>
      </c>
      <c r="C102" s="212">
        <v>93</v>
      </c>
      <c r="D102" s="212">
        <v>-17</v>
      </c>
      <c r="E102" s="212">
        <v>-15.454545454545499</v>
      </c>
      <c r="F102" s="212">
        <v>0.88137398053224902</v>
      </c>
    </row>
    <row r="103" spans="1:6" x14ac:dyDescent="0.3">
      <c r="A103" s="213" t="s">
        <v>112</v>
      </c>
      <c r="B103" s="1795" t="s">
        <v>115</v>
      </c>
      <c r="C103" s="214">
        <v>10</v>
      </c>
      <c r="D103" s="214">
        <v>1</v>
      </c>
      <c r="E103" s="214">
        <v>11.1111111111111</v>
      </c>
      <c r="F103" s="214">
        <v>9.4771395756155896E-2</v>
      </c>
    </row>
    <row r="104" spans="1:6" x14ac:dyDescent="0.3">
      <c r="A104" s="215" t="s">
        <v>112</v>
      </c>
      <c r="B104" s="1795" t="s">
        <v>116</v>
      </c>
      <c r="C104" s="216">
        <v>83</v>
      </c>
      <c r="D104" s="216">
        <v>-18</v>
      </c>
      <c r="E104" s="216">
        <v>-17.821782178217799</v>
      </c>
      <c r="F104" s="216">
        <v>0.78660258477609402</v>
      </c>
    </row>
    <row r="105" spans="1:6" x14ac:dyDescent="0.3">
      <c r="A105" s="217" t="s">
        <v>112</v>
      </c>
      <c r="B105" s="1795" t="s">
        <v>117</v>
      </c>
      <c r="C105" s="218">
        <v>34</v>
      </c>
      <c r="D105" s="218">
        <v>-14</v>
      </c>
      <c r="E105" s="218">
        <v>-29.1666666666667</v>
      </c>
      <c r="F105" s="218">
        <v>0.32222274557093</v>
      </c>
    </row>
    <row r="106" spans="1:6" x14ac:dyDescent="0.3">
      <c r="A106" s="219" t="s">
        <v>112</v>
      </c>
      <c r="B106" s="1795" t="s">
        <v>118</v>
      </c>
      <c r="C106" s="220">
        <v>2</v>
      </c>
      <c r="D106" s="220">
        <v>1</v>
      </c>
      <c r="E106" s="220">
        <v>100</v>
      </c>
      <c r="F106" s="220">
        <v>1.8954279151231199E-2</v>
      </c>
    </row>
    <row r="107" spans="1:6" x14ac:dyDescent="0.3">
      <c r="A107" s="221" t="s">
        <v>112</v>
      </c>
      <c r="B107" s="1795" t="s">
        <v>119</v>
      </c>
      <c r="C107" s="222">
        <v>32</v>
      </c>
      <c r="D107" s="222">
        <v>-15</v>
      </c>
      <c r="E107" s="222">
        <v>-31.914893617021299</v>
      </c>
      <c r="F107" s="222">
        <v>0.30326846641969901</v>
      </c>
    </row>
    <row r="108" spans="1:6" x14ac:dyDescent="0.3">
      <c r="A108" s="223" t="s">
        <v>112</v>
      </c>
      <c r="B108" s="1795" t="s">
        <v>120</v>
      </c>
      <c r="C108" s="224">
        <v>2</v>
      </c>
      <c r="D108" s="224">
        <v>1</v>
      </c>
      <c r="E108" s="224">
        <v>100</v>
      </c>
      <c r="F108" s="224">
        <v>1.8954279151231199E-2</v>
      </c>
    </row>
    <row r="109" spans="1:6" x14ac:dyDescent="0.3">
      <c r="A109" s="225" t="s">
        <v>112</v>
      </c>
      <c r="B109" s="1795" t="s">
        <v>121</v>
      </c>
      <c r="C109" s="226">
        <v>1</v>
      </c>
      <c r="D109" s="226">
        <v>1</v>
      </c>
      <c r="E109" s="226" t="s">
        <v>38</v>
      </c>
      <c r="F109" s="226">
        <v>9.4771395756155907E-3</v>
      </c>
    </row>
    <row r="110" spans="1:6" x14ac:dyDescent="0.3">
      <c r="A110" s="227" t="s">
        <v>112</v>
      </c>
      <c r="B110" s="1795" t="s">
        <v>122</v>
      </c>
      <c r="C110" s="228">
        <v>1</v>
      </c>
      <c r="D110" s="228">
        <v>0</v>
      </c>
      <c r="E110" s="228">
        <v>0</v>
      </c>
      <c r="F110" s="228">
        <v>9.4771395756155907E-3</v>
      </c>
    </row>
    <row r="111" spans="1:6" x14ac:dyDescent="0.3">
      <c r="A111" s="229" t="s">
        <v>112</v>
      </c>
      <c r="B111" s="1795" t="s">
        <v>123</v>
      </c>
      <c r="C111" s="230">
        <v>0</v>
      </c>
      <c r="D111" s="230">
        <v>-1</v>
      </c>
      <c r="E111" s="230">
        <v>-100</v>
      </c>
      <c r="F111" s="230">
        <v>0</v>
      </c>
    </row>
    <row r="112" spans="1:6" x14ac:dyDescent="0.3">
      <c r="A112" s="231" t="s">
        <v>112</v>
      </c>
      <c r="B112" s="1795" t="s">
        <v>124</v>
      </c>
      <c r="C112" s="232">
        <v>0</v>
      </c>
      <c r="D112" s="232">
        <v>0</v>
      </c>
      <c r="E112" s="232" t="s">
        <v>38</v>
      </c>
      <c r="F112" s="232">
        <v>0</v>
      </c>
    </row>
    <row r="113" spans="1:6" x14ac:dyDescent="0.3">
      <c r="A113" s="233" t="s">
        <v>112</v>
      </c>
      <c r="B113" s="1795" t="s">
        <v>125</v>
      </c>
      <c r="C113" s="234">
        <v>0</v>
      </c>
      <c r="D113" s="234">
        <v>-1</v>
      </c>
      <c r="E113" s="234">
        <v>-100</v>
      </c>
      <c r="F113" s="234">
        <v>0</v>
      </c>
    </row>
    <row r="114" spans="1:6" x14ac:dyDescent="0.3">
      <c r="A114" s="235" t="s">
        <v>112</v>
      </c>
      <c r="B114" s="1795" t="s">
        <v>126</v>
      </c>
      <c r="C114" s="236">
        <v>0</v>
      </c>
      <c r="D114" s="236">
        <v>0</v>
      </c>
      <c r="E114" s="236" t="s">
        <v>38</v>
      </c>
      <c r="F114" s="236">
        <v>0</v>
      </c>
    </row>
    <row r="115" spans="1:6" x14ac:dyDescent="0.3">
      <c r="A115" s="237" t="s">
        <v>112</v>
      </c>
      <c r="B115" s="1795" t="s">
        <v>127</v>
      </c>
      <c r="C115" s="238">
        <v>0</v>
      </c>
      <c r="D115" s="238">
        <v>0</v>
      </c>
      <c r="E115" s="238" t="s">
        <v>38</v>
      </c>
      <c r="F115" s="238">
        <v>0</v>
      </c>
    </row>
    <row r="116" spans="1:6" x14ac:dyDescent="0.3">
      <c r="A116" s="239" t="s">
        <v>112</v>
      </c>
      <c r="B116" s="1795" t="s">
        <v>128</v>
      </c>
      <c r="C116" s="240">
        <v>0</v>
      </c>
      <c r="D116" s="240">
        <v>0</v>
      </c>
      <c r="E116" s="240" t="s">
        <v>38</v>
      </c>
      <c r="F116" s="240">
        <v>0</v>
      </c>
    </row>
    <row r="117" spans="1:6" x14ac:dyDescent="0.3">
      <c r="A117" s="241" t="s">
        <v>112</v>
      </c>
      <c r="B117" s="1795" t="s">
        <v>129</v>
      </c>
      <c r="C117" s="242">
        <v>55</v>
      </c>
      <c r="D117" s="242">
        <v>-11</v>
      </c>
      <c r="E117" s="242">
        <v>-16.6666666666667</v>
      </c>
      <c r="F117" s="242">
        <v>0.52124267665885704</v>
      </c>
    </row>
    <row r="118" spans="1:6" x14ac:dyDescent="0.3">
      <c r="A118" s="243" t="s">
        <v>112</v>
      </c>
      <c r="B118" s="1795" t="s">
        <v>130</v>
      </c>
      <c r="C118" s="244">
        <v>9</v>
      </c>
      <c r="D118" s="244">
        <v>-1</v>
      </c>
      <c r="E118" s="244">
        <v>-10</v>
      </c>
      <c r="F118" s="244">
        <v>8.5294256180540304E-2</v>
      </c>
    </row>
    <row r="119" spans="1:6" x14ac:dyDescent="0.3">
      <c r="A119" s="245" t="s">
        <v>112</v>
      </c>
      <c r="B119" s="1795" t="s">
        <v>131</v>
      </c>
      <c r="C119" s="246">
        <v>46</v>
      </c>
      <c r="D119" s="246">
        <v>-10</v>
      </c>
      <c r="E119" s="246">
        <v>-17.8571428571429</v>
      </c>
      <c r="F119" s="246">
        <v>0.435948420478317</v>
      </c>
    </row>
    <row r="120" spans="1:6" x14ac:dyDescent="0.3">
      <c r="A120" s="247" t="s">
        <v>132</v>
      </c>
      <c r="B120" s="1795" t="s">
        <v>133</v>
      </c>
      <c r="C120" s="248">
        <v>160</v>
      </c>
      <c r="D120" s="248">
        <v>29</v>
      </c>
      <c r="E120" s="248">
        <v>22.137404580152701</v>
      </c>
      <c r="F120" s="248">
        <v>1.5163423320984899</v>
      </c>
    </row>
    <row r="121" spans="1:6" x14ac:dyDescent="0.3">
      <c r="A121" s="249" t="s">
        <v>132</v>
      </c>
      <c r="B121" s="1795" t="s">
        <v>117</v>
      </c>
      <c r="C121" s="250">
        <v>150</v>
      </c>
      <c r="D121" s="250">
        <v>26</v>
      </c>
      <c r="E121" s="250">
        <v>20.9677419354839</v>
      </c>
      <c r="F121" s="250">
        <v>1.4215709363423401</v>
      </c>
    </row>
    <row r="122" spans="1:6" x14ac:dyDescent="0.3">
      <c r="A122" s="251" t="s">
        <v>132</v>
      </c>
      <c r="B122" s="1795" t="s">
        <v>118</v>
      </c>
      <c r="C122" s="252">
        <v>3</v>
      </c>
      <c r="D122" s="252">
        <v>-2</v>
      </c>
      <c r="E122" s="252">
        <v>-40</v>
      </c>
      <c r="F122" s="252">
        <v>2.8431418726846801E-2</v>
      </c>
    </row>
    <row r="123" spans="1:6" x14ac:dyDescent="0.3">
      <c r="A123" s="253" t="s">
        <v>132</v>
      </c>
      <c r="B123" s="1795" t="s">
        <v>119</v>
      </c>
      <c r="C123" s="254">
        <v>147</v>
      </c>
      <c r="D123" s="254">
        <v>28</v>
      </c>
      <c r="E123" s="254">
        <v>23.529411764705898</v>
      </c>
      <c r="F123" s="254">
        <v>1.3931395176154899</v>
      </c>
    </row>
    <row r="124" spans="1:6" x14ac:dyDescent="0.3">
      <c r="A124" s="255" t="s">
        <v>132</v>
      </c>
      <c r="B124" s="1795" t="s">
        <v>120</v>
      </c>
      <c r="C124" s="256">
        <v>10</v>
      </c>
      <c r="D124" s="256">
        <v>3</v>
      </c>
      <c r="E124" s="256">
        <v>42.857142857142897</v>
      </c>
      <c r="F124" s="256">
        <v>9.4771395756155896E-2</v>
      </c>
    </row>
    <row r="125" spans="1:6" x14ac:dyDescent="0.3">
      <c r="A125" s="257" t="s">
        <v>132</v>
      </c>
      <c r="B125" s="1795" t="s">
        <v>121</v>
      </c>
      <c r="C125" s="258">
        <v>1</v>
      </c>
      <c r="D125" s="258">
        <v>-1</v>
      </c>
      <c r="E125" s="258">
        <v>-50</v>
      </c>
      <c r="F125" s="258">
        <v>9.4771395756155907E-3</v>
      </c>
    </row>
    <row r="126" spans="1:6" x14ac:dyDescent="0.3">
      <c r="A126" s="259" t="s">
        <v>132</v>
      </c>
      <c r="B126" s="1795" t="s">
        <v>122</v>
      </c>
      <c r="C126" s="260">
        <v>9</v>
      </c>
      <c r="D126" s="260">
        <v>4</v>
      </c>
      <c r="E126" s="260">
        <v>80</v>
      </c>
      <c r="F126" s="260">
        <v>8.5294256180540304E-2</v>
      </c>
    </row>
    <row r="127" spans="1:6" x14ac:dyDescent="0.3">
      <c r="A127" s="261" t="s">
        <v>134</v>
      </c>
      <c r="B127" s="1795" t="s">
        <v>135</v>
      </c>
      <c r="C127" s="262">
        <v>1587</v>
      </c>
      <c r="D127" s="262">
        <v>-54</v>
      </c>
      <c r="E127" s="262">
        <v>-3.2906764168190099</v>
      </c>
      <c r="F127" s="262">
        <v>15.0402205065019</v>
      </c>
    </row>
    <row r="128" spans="1:6" x14ac:dyDescent="0.3">
      <c r="A128" s="263" t="s">
        <v>134</v>
      </c>
      <c r="B128" s="1795" t="s">
        <v>23</v>
      </c>
      <c r="C128" s="264">
        <v>510</v>
      </c>
      <c r="D128" s="264">
        <v>55</v>
      </c>
      <c r="E128" s="264">
        <v>12.0879120879121</v>
      </c>
      <c r="F128" s="264">
        <v>4.8333411835639497</v>
      </c>
    </row>
    <row r="129" spans="1:6" x14ac:dyDescent="0.3">
      <c r="A129" s="265" t="s">
        <v>134</v>
      </c>
      <c r="B129" s="1795" t="s">
        <v>24</v>
      </c>
      <c r="C129" s="266">
        <v>249</v>
      </c>
      <c r="D129" s="266">
        <v>25</v>
      </c>
      <c r="E129" s="266">
        <v>11.160714285714301</v>
      </c>
      <c r="F129" s="266">
        <v>2.3598077543282798</v>
      </c>
    </row>
    <row r="130" spans="1:6" x14ac:dyDescent="0.3">
      <c r="A130" s="267" t="s">
        <v>134</v>
      </c>
      <c r="B130" s="1795" t="s">
        <v>25</v>
      </c>
      <c r="C130" s="268">
        <v>261</v>
      </c>
      <c r="D130" s="268">
        <v>30</v>
      </c>
      <c r="E130" s="268">
        <v>12.987012987012999</v>
      </c>
      <c r="F130" s="268">
        <v>2.4735334292356699</v>
      </c>
    </row>
    <row r="131" spans="1:6" x14ac:dyDescent="0.3">
      <c r="A131" s="269" t="s">
        <v>134</v>
      </c>
      <c r="B131" s="1795" t="s">
        <v>26</v>
      </c>
      <c r="C131" s="270">
        <v>718</v>
      </c>
      <c r="D131" s="270">
        <v>-54</v>
      </c>
      <c r="E131" s="270">
        <v>-6.99481865284974</v>
      </c>
      <c r="F131" s="270">
        <v>6.80458621529199</v>
      </c>
    </row>
    <row r="132" spans="1:6" x14ac:dyDescent="0.3">
      <c r="A132" s="271" t="s">
        <v>134</v>
      </c>
      <c r="B132" s="1795" t="s">
        <v>27</v>
      </c>
      <c r="C132" s="272">
        <v>354</v>
      </c>
      <c r="D132" s="272">
        <v>18</v>
      </c>
      <c r="E132" s="272">
        <v>5.3571428571428603</v>
      </c>
      <c r="F132" s="272">
        <v>3.3549074097679199</v>
      </c>
    </row>
    <row r="133" spans="1:6" x14ac:dyDescent="0.3">
      <c r="A133" s="273" t="s">
        <v>134</v>
      </c>
      <c r="B133" s="1795" t="s">
        <v>28</v>
      </c>
      <c r="C133" s="274">
        <v>62</v>
      </c>
      <c r="D133" s="274">
        <v>-10</v>
      </c>
      <c r="E133" s="274">
        <v>-13.8888888888889</v>
      </c>
      <c r="F133" s="274">
        <v>0.58758265368816598</v>
      </c>
    </row>
    <row r="134" spans="1:6" x14ac:dyDescent="0.3">
      <c r="A134" s="275" t="s">
        <v>134</v>
      </c>
      <c r="B134" s="1795" t="s">
        <v>29</v>
      </c>
      <c r="C134" s="276">
        <v>160</v>
      </c>
      <c r="D134" s="276">
        <v>9</v>
      </c>
      <c r="E134" s="276">
        <v>5.9602649006622501</v>
      </c>
      <c r="F134" s="276">
        <v>1.5163423320984899</v>
      </c>
    </row>
    <row r="135" spans="1:6" x14ac:dyDescent="0.3">
      <c r="A135" s="277" t="s">
        <v>134</v>
      </c>
      <c r="B135" s="1795" t="s">
        <v>30</v>
      </c>
      <c r="C135" s="278">
        <v>142</v>
      </c>
      <c r="D135" s="278">
        <v>-71</v>
      </c>
      <c r="E135" s="278">
        <v>-33.3333333333333</v>
      </c>
      <c r="F135" s="278">
        <v>1.3457538197374099</v>
      </c>
    </row>
    <row r="136" spans="1:6" x14ac:dyDescent="0.3">
      <c r="A136" s="279" t="s">
        <v>134</v>
      </c>
      <c r="B136" s="1795" t="s">
        <v>31</v>
      </c>
      <c r="C136" s="280">
        <v>359</v>
      </c>
      <c r="D136" s="280">
        <v>-55</v>
      </c>
      <c r="E136" s="280">
        <v>-13.285024154589401</v>
      </c>
      <c r="F136" s="280">
        <v>3.4022931076459999</v>
      </c>
    </row>
    <row r="137" spans="1:6" x14ac:dyDescent="0.3">
      <c r="A137" s="281" t="s">
        <v>134</v>
      </c>
      <c r="B137" s="1795" t="s">
        <v>32</v>
      </c>
      <c r="C137" s="282">
        <v>27</v>
      </c>
      <c r="D137" s="282">
        <v>5</v>
      </c>
      <c r="E137" s="282">
        <v>22.727272727272702</v>
      </c>
      <c r="F137" s="282">
        <v>0.25588276854162101</v>
      </c>
    </row>
    <row r="138" spans="1:6" x14ac:dyDescent="0.3">
      <c r="A138" s="283" t="s">
        <v>134</v>
      </c>
      <c r="B138" s="1795" t="s">
        <v>33</v>
      </c>
      <c r="C138" s="284">
        <v>26</v>
      </c>
      <c r="D138" s="284">
        <v>-2</v>
      </c>
      <c r="E138" s="284">
        <v>-7.1428571428571397</v>
      </c>
      <c r="F138" s="284">
        <v>0.24640562896600501</v>
      </c>
    </row>
    <row r="139" spans="1:6" x14ac:dyDescent="0.3">
      <c r="A139" s="285" t="s">
        <v>134</v>
      </c>
      <c r="B139" s="1795" t="s">
        <v>34</v>
      </c>
      <c r="C139" s="286">
        <v>94</v>
      </c>
      <c r="D139" s="286">
        <v>-13</v>
      </c>
      <c r="E139" s="286">
        <v>-12.1495327102804</v>
      </c>
      <c r="F139" s="286">
        <v>0.89085112010786505</v>
      </c>
    </row>
    <row r="140" spans="1:6" x14ac:dyDescent="0.3">
      <c r="A140" s="287" t="s">
        <v>134</v>
      </c>
      <c r="B140" s="1795" t="s">
        <v>35</v>
      </c>
      <c r="C140" s="288">
        <v>212</v>
      </c>
      <c r="D140" s="288">
        <v>-45</v>
      </c>
      <c r="E140" s="288">
        <v>-17.5097276264591</v>
      </c>
      <c r="F140" s="288">
        <v>2.0091535900305</v>
      </c>
    </row>
    <row r="141" spans="1:6" x14ac:dyDescent="0.3">
      <c r="A141" s="289" t="s">
        <v>136</v>
      </c>
      <c r="B141" s="1795" t="s">
        <v>137</v>
      </c>
      <c r="C141" s="290">
        <v>11752</v>
      </c>
      <c r="D141" s="290">
        <v>1072</v>
      </c>
      <c r="E141" s="290">
        <v>10.037453183520601</v>
      </c>
      <c r="F141" s="290">
        <v>111.375344292634</v>
      </c>
    </row>
    <row r="142" spans="1:6" x14ac:dyDescent="0.3">
      <c r="A142" s="291" t="s">
        <v>136</v>
      </c>
      <c r="B142" s="1795" t="s">
        <v>24</v>
      </c>
      <c r="C142" s="292">
        <v>5862</v>
      </c>
      <c r="D142" s="292">
        <v>702</v>
      </c>
      <c r="E142" s="292">
        <v>13.604651162790701</v>
      </c>
      <c r="F142" s="292">
        <v>55.554992192258602</v>
      </c>
    </row>
    <row r="143" spans="1:6" x14ac:dyDescent="0.3">
      <c r="A143" s="293" t="s">
        <v>136</v>
      </c>
      <c r="B143" s="1795" t="s">
        <v>25</v>
      </c>
      <c r="C143" s="294">
        <v>5890</v>
      </c>
      <c r="D143" s="294">
        <v>370</v>
      </c>
      <c r="E143" s="294">
        <v>6.7028985507246404</v>
      </c>
      <c r="F143" s="294">
        <v>55.8203521003758</v>
      </c>
    </row>
    <row r="144" spans="1:6" x14ac:dyDescent="0.3">
      <c r="A144" s="295" t="s">
        <v>138</v>
      </c>
      <c r="B144" s="1795" t="s">
        <v>139</v>
      </c>
      <c r="C144" s="296">
        <v>1114</v>
      </c>
      <c r="D144" s="296">
        <v>-13</v>
      </c>
      <c r="E144" s="296">
        <v>-1.1535048802129499</v>
      </c>
      <c r="F144" s="296">
        <v>10.5575334872358</v>
      </c>
    </row>
    <row r="145" spans="1:6" x14ac:dyDescent="0.3">
      <c r="A145" s="297" t="s">
        <v>138</v>
      </c>
      <c r="B145" s="1795" t="s">
        <v>23</v>
      </c>
      <c r="C145" s="298">
        <v>416</v>
      </c>
      <c r="D145" s="298">
        <v>14</v>
      </c>
      <c r="E145" s="298">
        <v>3.4825870646766202</v>
      </c>
      <c r="F145" s="298">
        <v>3.9424900634560802</v>
      </c>
    </row>
    <row r="146" spans="1:6" x14ac:dyDescent="0.3">
      <c r="A146" s="299" t="s">
        <v>138</v>
      </c>
      <c r="B146" s="1795" t="s">
        <v>24</v>
      </c>
      <c r="C146" s="300">
        <v>154</v>
      </c>
      <c r="D146" s="300">
        <v>13</v>
      </c>
      <c r="E146" s="300">
        <v>9.2198581560283692</v>
      </c>
      <c r="F146" s="300">
        <v>1.4594794946448</v>
      </c>
    </row>
    <row r="147" spans="1:6" x14ac:dyDescent="0.3">
      <c r="A147" s="301" t="s">
        <v>138</v>
      </c>
      <c r="B147" s="1795" t="s">
        <v>25</v>
      </c>
      <c r="C147" s="302">
        <v>262</v>
      </c>
      <c r="D147" s="302">
        <v>1</v>
      </c>
      <c r="E147" s="302">
        <v>0.38314176245210702</v>
      </c>
      <c r="F147" s="302">
        <v>2.48301056881128</v>
      </c>
    </row>
    <row r="148" spans="1:6" x14ac:dyDescent="0.3">
      <c r="A148" s="303" t="s">
        <v>138</v>
      </c>
      <c r="B148" s="1795" t="s">
        <v>26</v>
      </c>
      <c r="C148" s="304">
        <v>353</v>
      </c>
      <c r="D148" s="304">
        <v>-17</v>
      </c>
      <c r="E148" s="304">
        <v>-4.5945945945945903</v>
      </c>
      <c r="F148" s="304">
        <v>3.3454302701923</v>
      </c>
    </row>
    <row r="149" spans="1:6" x14ac:dyDescent="0.3">
      <c r="A149" s="305" t="s">
        <v>138</v>
      </c>
      <c r="B149" s="1795" t="s">
        <v>27</v>
      </c>
      <c r="C149" s="306">
        <v>154</v>
      </c>
      <c r="D149" s="306">
        <v>-8</v>
      </c>
      <c r="E149" s="306">
        <v>-4.9382716049382704</v>
      </c>
      <c r="F149" s="306">
        <v>1.4594794946448</v>
      </c>
    </row>
    <row r="150" spans="1:6" x14ac:dyDescent="0.3">
      <c r="A150" s="307" t="s">
        <v>138</v>
      </c>
      <c r="B150" s="1795" t="s">
        <v>28</v>
      </c>
      <c r="C150" s="308">
        <v>24</v>
      </c>
      <c r="D150" s="308">
        <v>5</v>
      </c>
      <c r="E150" s="308">
        <v>26.315789473684202</v>
      </c>
      <c r="F150" s="308">
        <v>0.227451349814774</v>
      </c>
    </row>
    <row r="151" spans="1:6" x14ac:dyDescent="0.3">
      <c r="A151" s="309" t="s">
        <v>138</v>
      </c>
      <c r="B151" s="1795" t="s">
        <v>29</v>
      </c>
      <c r="C151" s="310">
        <v>90</v>
      </c>
      <c r="D151" s="310">
        <v>1</v>
      </c>
      <c r="E151" s="310">
        <v>1.1235955056179801</v>
      </c>
      <c r="F151" s="310">
        <v>0.85294256180540295</v>
      </c>
    </row>
    <row r="152" spans="1:6" x14ac:dyDescent="0.3">
      <c r="A152" s="311" t="s">
        <v>138</v>
      </c>
      <c r="B152" s="1795" t="s">
        <v>30</v>
      </c>
      <c r="C152" s="312">
        <v>85</v>
      </c>
      <c r="D152" s="312">
        <v>-15</v>
      </c>
      <c r="E152" s="312">
        <v>-15</v>
      </c>
      <c r="F152" s="312">
        <v>0.80555686392732495</v>
      </c>
    </row>
    <row r="153" spans="1:6" x14ac:dyDescent="0.3">
      <c r="A153" s="313" t="s">
        <v>138</v>
      </c>
      <c r="B153" s="1795" t="s">
        <v>31</v>
      </c>
      <c r="C153" s="314">
        <v>345</v>
      </c>
      <c r="D153" s="314">
        <v>-10</v>
      </c>
      <c r="E153" s="314">
        <v>-2.8169014084507</v>
      </c>
      <c r="F153" s="314">
        <v>3.2696131535873798</v>
      </c>
    </row>
    <row r="154" spans="1:6" x14ac:dyDescent="0.3">
      <c r="A154" s="315" t="s">
        <v>138</v>
      </c>
      <c r="B154" s="1795" t="s">
        <v>32</v>
      </c>
      <c r="C154" s="316">
        <v>20</v>
      </c>
      <c r="D154" s="316">
        <v>4</v>
      </c>
      <c r="E154" s="316">
        <v>25</v>
      </c>
      <c r="F154" s="316">
        <v>0.18954279151231199</v>
      </c>
    </row>
    <row r="155" spans="1:6" x14ac:dyDescent="0.3">
      <c r="A155" s="317" t="s">
        <v>138</v>
      </c>
      <c r="B155" s="1795" t="s">
        <v>33</v>
      </c>
      <c r="C155" s="318">
        <v>13</v>
      </c>
      <c r="D155" s="318">
        <v>-3</v>
      </c>
      <c r="E155" s="318">
        <v>-18.75</v>
      </c>
      <c r="F155" s="318">
        <v>0.12320281448300301</v>
      </c>
    </row>
    <row r="156" spans="1:6" x14ac:dyDescent="0.3">
      <c r="A156" s="319" t="s">
        <v>138</v>
      </c>
      <c r="B156" s="1795" t="s">
        <v>34</v>
      </c>
      <c r="C156" s="320">
        <v>120</v>
      </c>
      <c r="D156" s="320">
        <v>0</v>
      </c>
      <c r="E156" s="320">
        <v>0</v>
      </c>
      <c r="F156" s="320">
        <v>1.1372567490738701</v>
      </c>
    </row>
    <row r="157" spans="1:6" x14ac:dyDescent="0.3">
      <c r="A157" s="321" t="s">
        <v>138</v>
      </c>
      <c r="B157" s="1795" t="s">
        <v>35</v>
      </c>
      <c r="C157" s="322">
        <v>192</v>
      </c>
      <c r="D157" s="322">
        <v>-11</v>
      </c>
      <c r="E157" s="322">
        <v>-5.4187192118226601</v>
      </c>
      <c r="F157" s="322">
        <v>1.81961079851819</v>
      </c>
    </row>
    <row r="158" spans="1:6" x14ac:dyDescent="0.3">
      <c r="A158" s="323" t="s">
        <v>140</v>
      </c>
      <c r="B158" s="1795" t="s">
        <v>141</v>
      </c>
      <c r="C158" s="324">
        <v>813</v>
      </c>
      <c r="D158" s="324">
        <v>-142</v>
      </c>
      <c r="E158" s="324">
        <v>-14.869109947644001</v>
      </c>
      <c r="F158" s="324">
        <v>7.7049144749754701</v>
      </c>
    </row>
    <row r="159" spans="1:6" x14ac:dyDescent="0.3">
      <c r="A159" s="325" t="s">
        <v>140</v>
      </c>
      <c r="B159" s="1795" t="s">
        <v>23</v>
      </c>
      <c r="C159" s="326">
        <v>598</v>
      </c>
      <c r="D159" s="326">
        <v>-153</v>
      </c>
      <c r="E159" s="326">
        <v>-20.3728362183755</v>
      </c>
      <c r="F159" s="326">
        <v>5.6673294662181197</v>
      </c>
    </row>
    <row r="160" spans="1:6" x14ac:dyDescent="0.3">
      <c r="A160" s="327" t="s">
        <v>140</v>
      </c>
      <c r="B160" s="1795" t="s">
        <v>24</v>
      </c>
      <c r="C160" s="328">
        <v>313</v>
      </c>
      <c r="D160" s="328">
        <v>-66</v>
      </c>
      <c r="E160" s="328">
        <v>-17.4142480211082</v>
      </c>
      <c r="F160" s="328">
        <v>2.96634468716768</v>
      </c>
    </row>
    <row r="161" spans="1:6" x14ac:dyDescent="0.3">
      <c r="A161" s="329" t="s">
        <v>140</v>
      </c>
      <c r="B161" s="1795" t="s">
        <v>25</v>
      </c>
      <c r="C161" s="330">
        <v>285</v>
      </c>
      <c r="D161" s="330">
        <v>-87</v>
      </c>
      <c r="E161" s="330">
        <v>-23.387096774193498</v>
      </c>
      <c r="F161" s="330">
        <v>2.7009847790504402</v>
      </c>
    </row>
    <row r="162" spans="1:6" x14ac:dyDescent="0.3">
      <c r="A162" s="331" t="s">
        <v>140</v>
      </c>
      <c r="B162" s="1795" t="s">
        <v>26</v>
      </c>
      <c r="C162" s="332">
        <v>131</v>
      </c>
      <c r="D162" s="332">
        <v>3</v>
      </c>
      <c r="E162" s="332">
        <v>2.34375</v>
      </c>
      <c r="F162" s="332">
        <v>1.24150528440564</v>
      </c>
    </row>
    <row r="163" spans="1:6" x14ac:dyDescent="0.3">
      <c r="A163" s="333" t="s">
        <v>140</v>
      </c>
      <c r="B163" s="1795" t="s">
        <v>27</v>
      </c>
      <c r="C163" s="334">
        <v>94</v>
      </c>
      <c r="D163" s="334">
        <v>-1</v>
      </c>
      <c r="E163" s="334">
        <v>-1.0526315789473699</v>
      </c>
      <c r="F163" s="334">
        <v>0.89085112010786505</v>
      </c>
    </row>
    <row r="164" spans="1:6" x14ac:dyDescent="0.3">
      <c r="A164" s="335" t="s">
        <v>140</v>
      </c>
      <c r="B164" s="1795" t="s">
        <v>28</v>
      </c>
      <c r="C164" s="336">
        <v>37</v>
      </c>
      <c r="D164" s="336">
        <v>4</v>
      </c>
      <c r="E164" s="336">
        <v>12.1212121212121</v>
      </c>
      <c r="F164" s="336">
        <v>0.35065416429777702</v>
      </c>
    </row>
    <row r="165" spans="1:6" x14ac:dyDescent="0.3">
      <c r="A165" s="337" t="s">
        <v>140</v>
      </c>
      <c r="B165" s="1795" t="s">
        <v>31</v>
      </c>
      <c r="C165" s="338">
        <v>84</v>
      </c>
      <c r="D165" s="338">
        <v>8</v>
      </c>
      <c r="E165" s="338">
        <v>10.526315789473699</v>
      </c>
      <c r="F165" s="338">
        <v>0.79607972435170904</v>
      </c>
    </row>
    <row r="166" spans="1:6" x14ac:dyDescent="0.3">
      <c r="A166" s="339" t="s">
        <v>140</v>
      </c>
      <c r="B166" s="1795" t="s">
        <v>32</v>
      </c>
      <c r="C166" s="340">
        <v>66</v>
      </c>
      <c r="D166" s="340">
        <v>6</v>
      </c>
      <c r="E166" s="340">
        <v>10</v>
      </c>
      <c r="F166" s="340">
        <v>0.62549121199062896</v>
      </c>
    </row>
    <row r="167" spans="1:6" x14ac:dyDescent="0.3">
      <c r="A167" s="341" t="s">
        <v>140</v>
      </c>
      <c r="B167" s="1795" t="s">
        <v>33</v>
      </c>
      <c r="C167" s="342">
        <v>18</v>
      </c>
      <c r="D167" s="342">
        <v>2</v>
      </c>
      <c r="E167" s="342">
        <v>12.5</v>
      </c>
      <c r="F167" s="342">
        <v>0.170588512361081</v>
      </c>
    </row>
    <row r="168" spans="1:6" x14ac:dyDescent="0.3">
      <c r="A168" s="343" t="s">
        <v>142</v>
      </c>
      <c r="B168" s="1795" t="s">
        <v>143</v>
      </c>
      <c r="C168" s="344">
        <v>1040</v>
      </c>
      <c r="D168" s="344">
        <v>-79</v>
      </c>
      <c r="E168" s="344">
        <v>-7.0598748882931197</v>
      </c>
      <c r="F168" s="344">
        <v>9.8562251586402105</v>
      </c>
    </row>
    <row r="169" spans="1:6" x14ac:dyDescent="0.3">
      <c r="A169" s="345" t="s">
        <v>144</v>
      </c>
      <c r="B169" s="1795" t="s">
        <v>145</v>
      </c>
      <c r="C169" s="346">
        <v>560</v>
      </c>
      <c r="D169" s="346">
        <v>37</v>
      </c>
      <c r="E169" s="346">
        <v>7.0745697896749498</v>
      </c>
      <c r="F169" s="346">
        <v>5.3071981623447302</v>
      </c>
    </row>
    <row r="170" spans="1:6" x14ac:dyDescent="0.3">
      <c r="A170" s="347" t="s">
        <v>144</v>
      </c>
      <c r="B170" s="1795" t="s">
        <v>23</v>
      </c>
      <c r="C170" s="348">
        <v>26</v>
      </c>
      <c r="D170" s="348">
        <v>-3</v>
      </c>
      <c r="E170" s="348">
        <v>-10.3448275862069</v>
      </c>
      <c r="F170" s="348">
        <v>0.24640562896600501</v>
      </c>
    </row>
    <row r="171" spans="1:6" x14ac:dyDescent="0.3">
      <c r="A171" s="349" t="s">
        <v>144</v>
      </c>
      <c r="B171" s="1795" t="s">
        <v>24</v>
      </c>
      <c r="C171" s="350">
        <v>17</v>
      </c>
      <c r="D171" s="350">
        <v>-3</v>
      </c>
      <c r="E171" s="350">
        <v>-15</v>
      </c>
      <c r="F171" s="350">
        <v>0.161111372785465</v>
      </c>
    </row>
    <row r="172" spans="1:6" x14ac:dyDescent="0.3">
      <c r="A172" s="351" t="s">
        <v>144</v>
      </c>
      <c r="B172" s="1795" t="s">
        <v>25</v>
      </c>
      <c r="C172" s="352">
        <v>9</v>
      </c>
      <c r="D172" s="352">
        <v>0</v>
      </c>
      <c r="E172" s="352">
        <v>0</v>
      </c>
      <c r="F172" s="352">
        <v>8.5294256180540304E-2</v>
      </c>
    </row>
    <row r="173" spans="1:6" x14ac:dyDescent="0.3">
      <c r="A173" s="353" t="s">
        <v>144</v>
      </c>
      <c r="B173" s="1795" t="s">
        <v>26</v>
      </c>
      <c r="C173" s="354">
        <v>387</v>
      </c>
      <c r="D173" s="354">
        <v>30</v>
      </c>
      <c r="E173" s="354">
        <v>8.4033613445378208</v>
      </c>
      <c r="F173" s="354">
        <v>3.6676530157632299</v>
      </c>
    </row>
    <row r="174" spans="1:6" x14ac:dyDescent="0.3">
      <c r="A174" s="355" t="s">
        <v>144</v>
      </c>
      <c r="B174" s="1795" t="s">
        <v>27</v>
      </c>
      <c r="C174" s="356">
        <v>172</v>
      </c>
      <c r="D174" s="356">
        <v>35</v>
      </c>
      <c r="E174" s="356">
        <v>25.5474452554745</v>
      </c>
      <c r="F174" s="356">
        <v>1.6300680070058799</v>
      </c>
    </row>
    <row r="175" spans="1:6" x14ac:dyDescent="0.3">
      <c r="A175" s="357" t="s">
        <v>144</v>
      </c>
      <c r="B175" s="1795" t="s">
        <v>28</v>
      </c>
      <c r="C175" s="358">
        <v>17</v>
      </c>
      <c r="D175" s="358">
        <v>-3</v>
      </c>
      <c r="E175" s="358">
        <v>-15</v>
      </c>
      <c r="F175" s="358">
        <v>0.161111372785465</v>
      </c>
    </row>
    <row r="176" spans="1:6" x14ac:dyDescent="0.3">
      <c r="A176" s="359" t="s">
        <v>144</v>
      </c>
      <c r="B176" s="1795" t="s">
        <v>29</v>
      </c>
      <c r="C176" s="360">
        <v>118</v>
      </c>
      <c r="D176" s="360">
        <v>19</v>
      </c>
      <c r="E176" s="360">
        <v>19.191919191919201</v>
      </c>
      <c r="F176" s="360">
        <v>1.11830246992264</v>
      </c>
    </row>
    <row r="177" spans="1:6" x14ac:dyDescent="0.3">
      <c r="A177" s="361" t="s">
        <v>144</v>
      </c>
      <c r="B177" s="1795" t="s">
        <v>30</v>
      </c>
      <c r="C177" s="362">
        <v>80</v>
      </c>
      <c r="D177" s="362">
        <v>-21</v>
      </c>
      <c r="E177" s="362">
        <v>-20.7920792079208</v>
      </c>
      <c r="F177" s="362">
        <v>0.75817116604924695</v>
      </c>
    </row>
    <row r="178" spans="1:6" x14ac:dyDescent="0.3">
      <c r="A178" s="363" t="s">
        <v>144</v>
      </c>
      <c r="B178" s="1795" t="s">
        <v>31</v>
      </c>
      <c r="C178" s="364">
        <v>147</v>
      </c>
      <c r="D178" s="364">
        <v>10</v>
      </c>
      <c r="E178" s="364">
        <v>7.2992700729926998</v>
      </c>
      <c r="F178" s="364">
        <v>1.3931395176154899</v>
      </c>
    </row>
    <row r="179" spans="1:6" x14ac:dyDescent="0.3">
      <c r="A179" s="365" t="s">
        <v>144</v>
      </c>
      <c r="B179" s="1795" t="s">
        <v>32</v>
      </c>
      <c r="C179" s="366">
        <v>28</v>
      </c>
      <c r="D179" s="366">
        <v>2</v>
      </c>
      <c r="E179" s="366">
        <v>7.6923076923076898</v>
      </c>
      <c r="F179" s="366">
        <v>0.26535990811723598</v>
      </c>
    </row>
    <row r="180" spans="1:6" x14ac:dyDescent="0.3">
      <c r="A180" s="367" t="s">
        <v>144</v>
      </c>
      <c r="B180" s="1795" t="s">
        <v>33</v>
      </c>
      <c r="C180" s="368">
        <v>13</v>
      </c>
      <c r="D180" s="368">
        <v>7</v>
      </c>
      <c r="E180" s="368">
        <v>116.666666666667</v>
      </c>
      <c r="F180" s="368">
        <v>0.12320281448300301</v>
      </c>
    </row>
    <row r="181" spans="1:6" x14ac:dyDescent="0.3">
      <c r="A181" s="369" t="s">
        <v>144</v>
      </c>
      <c r="B181" s="1795" t="s">
        <v>34</v>
      </c>
      <c r="C181" s="370">
        <v>59</v>
      </c>
      <c r="D181" s="370">
        <v>6</v>
      </c>
      <c r="E181" s="370">
        <v>11.320754716981099</v>
      </c>
      <c r="F181" s="370">
        <v>0.55915123496132002</v>
      </c>
    </row>
    <row r="182" spans="1:6" x14ac:dyDescent="0.3">
      <c r="A182" s="371" t="s">
        <v>144</v>
      </c>
      <c r="B182" s="1795" t="s">
        <v>35</v>
      </c>
      <c r="C182" s="372">
        <v>47</v>
      </c>
      <c r="D182" s="372">
        <v>-5</v>
      </c>
      <c r="E182" s="372">
        <v>-9.6153846153846203</v>
      </c>
      <c r="F182" s="372">
        <v>0.44542556005393302</v>
      </c>
    </row>
    <row r="183" spans="1:6" x14ac:dyDescent="0.3">
      <c r="A183" s="373" t="s">
        <v>146</v>
      </c>
      <c r="B183" s="1795" t="s">
        <v>147</v>
      </c>
      <c r="C183" s="374">
        <v>33</v>
      </c>
      <c r="D183" s="374">
        <v>5</v>
      </c>
      <c r="E183" s="374">
        <v>17.8571428571429</v>
      </c>
      <c r="F183" s="374">
        <v>0.31274560599531398</v>
      </c>
    </row>
    <row r="184" spans="1:6" x14ac:dyDescent="0.3">
      <c r="A184" s="375" t="s">
        <v>148</v>
      </c>
      <c r="B184" s="1795" t="s">
        <v>149</v>
      </c>
      <c r="C184" s="376">
        <v>46</v>
      </c>
      <c r="D184" s="376">
        <v>-9</v>
      </c>
      <c r="E184" s="376">
        <v>-16.363636363636399</v>
      </c>
      <c r="F184" s="376">
        <v>0.435948420478317</v>
      </c>
    </row>
    <row r="185" spans="1:6" x14ac:dyDescent="0.3">
      <c r="A185" s="377" t="s">
        <v>150</v>
      </c>
      <c r="B185" s="1795" t="s">
        <v>151</v>
      </c>
      <c r="C185" s="378">
        <v>9</v>
      </c>
      <c r="D185" s="378">
        <v>-4</v>
      </c>
      <c r="E185" s="378">
        <v>-30.769230769230798</v>
      </c>
      <c r="F185" s="378">
        <v>8.5294256180540304E-2</v>
      </c>
    </row>
    <row r="186" spans="1:6" x14ac:dyDescent="0.3">
      <c r="A186" s="379" t="s">
        <v>152</v>
      </c>
      <c r="B186" s="1795" t="s">
        <v>153</v>
      </c>
      <c r="C186" s="380">
        <v>54</v>
      </c>
      <c r="D186" s="380">
        <v>-20</v>
      </c>
      <c r="E186" s="380">
        <v>-27.027027027027</v>
      </c>
      <c r="F186" s="380">
        <v>0.51176553708324202</v>
      </c>
    </row>
    <row r="187" spans="1:6" x14ac:dyDescent="0.3">
      <c r="A187" s="381" t="s">
        <v>152</v>
      </c>
      <c r="B187" s="1795" t="s">
        <v>23</v>
      </c>
      <c r="C187" s="382">
        <v>31</v>
      </c>
      <c r="D187" s="382">
        <v>-5</v>
      </c>
      <c r="E187" s="382">
        <v>-13.8888888888889</v>
      </c>
      <c r="F187" s="382">
        <v>0.29379132684408299</v>
      </c>
    </row>
    <row r="188" spans="1:6" x14ac:dyDescent="0.3">
      <c r="A188" s="383" t="s">
        <v>152</v>
      </c>
      <c r="B188" s="1795" t="s">
        <v>24</v>
      </c>
      <c r="C188" s="384">
        <v>27</v>
      </c>
      <c r="D188" s="384">
        <v>-7</v>
      </c>
      <c r="E188" s="384">
        <v>-20.588235294117599</v>
      </c>
      <c r="F188" s="384">
        <v>0.25588276854162101</v>
      </c>
    </row>
    <row r="189" spans="1:6" x14ac:dyDescent="0.3">
      <c r="A189" s="385" t="s">
        <v>152</v>
      </c>
      <c r="B189" s="1795" t="s">
        <v>25</v>
      </c>
      <c r="C189" s="386">
        <v>4</v>
      </c>
      <c r="D189" s="386">
        <v>2</v>
      </c>
      <c r="E189" s="386">
        <v>100</v>
      </c>
      <c r="F189" s="386">
        <v>3.79085583024623E-2</v>
      </c>
    </row>
    <row r="190" spans="1:6" x14ac:dyDescent="0.3">
      <c r="A190" s="387" t="s">
        <v>152</v>
      </c>
      <c r="B190" s="1795" t="s">
        <v>26</v>
      </c>
      <c r="C190" s="388">
        <v>22</v>
      </c>
      <c r="D190" s="388">
        <v>-11</v>
      </c>
      <c r="E190" s="388">
        <v>-33.3333333333333</v>
      </c>
      <c r="F190" s="388">
        <v>0.208497070663543</v>
      </c>
    </row>
    <row r="191" spans="1:6" x14ac:dyDescent="0.3">
      <c r="A191" s="389" t="s">
        <v>152</v>
      </c>
      <c r="B191" s="1795" t="s">
        <v>31</v>
      </c>
      <c r="C191" s="390">
        <v>1</v>
      </c>
      <c r="D191" s="390">
        <v>-4</v>
      </c>
      <c r="E191" s="390">
        <v>-80</v>
      </c>
      <c r="F191" s="390">
        <v>9.4771395756155907E-3</v>
      </c>
    </row>
    <row r="192" spans="1:6" x14ac:dyDescent="0.3">
      <c r="A192" s="391" t="s">
        <v>154</v>
      </c>
      <c r="B192" s="1795" t="s">
        <v>155</v>
      </c>
      <c r="C192" s="392">
        <v>50438</v>
      </c>
      <c r="D192" s="392">
        <v>247</v>
      </c>
      <c r="E192" s="392">
        <v>0.49212010121336502</v>
      </c>
      <c r="F192" s="392">
        <v>478.00796591489899</v>
      </c>
    </row>
    <row r="193" spans="1:6" x14ac:dyDescent="0.3">
      <c r="A193" s="393" t="s">
        <v>154</v>
      </c>
      <c r="B193" s="1795" t="s">
        <v>23</v>
      </c>
      <c r="C193" s="394">
        <v>8241</v>
      </c>
      <c r="D193" s="394">
        <v>285</v>
      </c>
      <c r="E193" s="394">
        <v>3.58220211161388</v>
      </c>
      <c r="F193" s="394">
        <v>78.101107242647998</v>
      </c>
    </row>
    <row r="194" spans="1:6" x14ac:dyDescent="0.3">
      <c r="A194" s="395" t="s">
        <v>154</v>
      </c>
      <c r="B194" s="1795" t="s">
        <v>24</v>
      </c>
      <c r="C194" s="396">
        <v>3567</v>
      </c>
      <c r="D194" s="396">
        <v>221</v>
      </c>
      <c r="E194" s="396">
        <v>6.6049013747758503</v>
      </c>
      <c r="F194" s="396">
        <v>33.804956866220799</v>
      </c>
    </row>
    <row r="195" spans="1:6" x14ac:dyDescent="0.3">
      <c r="A195" s="397" t="s">
        <v>154</v>
      </c>
      <c r="B195" s="1795" t="s">
        <v>156</v>
      </c>
      <c r="C195" s="398">
        <v>1094</v>
      </c>
      <c r="D195" s="398">
        <v>167</v>
      </c>
      <c r="E195" s="398">
        <v>18.0151024811219</v>
      </c>
      <c r="F195" s="398">
        <v>10.367990695723501</v>
      </c>
    </row>
    <row r="196" spans="1:6" x14ac:dyDescent="0.3">
      <c r="A196" s="399" t="s">
        <v>154</v>
      </c>
      <c r="B196" s="1795" t="s">
        <v>157</v>
      </c>
      <c r="C196" s="400">
        <v>2473</v>
      </c>
      <c r="D196" s="400">
        <v>54</v>
      </c>
      <c r="E196" s="400">
        <v>2.2323274080198399</v>
      </c>
      <c r="F196" s="400">
        <v>23.4369661704973</v>
      </c>
    </row>
    <row r="197" spans="1:6" x14ac:dyDescent="0.3">
      <c r="A197" s="401" t="s">
        <v>154</v>
      </c>
      <c r="B197" s="1795" t="s">
        <v>25</v>
      </c>
      <c r="C197" s="402">
        <v>4674</v>
      </c>
      <c r="D197" s="402">
        <v>64</v>
      </c>
      <c r="E197" s="402">
        <v>1.3882863340564</v>
      </c>
      <c r="F197" s="402">
        <v>44.2961503764272</v>
      </c>
    </row>
    <row r="198" spans="1:6" x14ac:dyDescent="0.3">
      <c r="A198" s="403" t="s">
        <v>154</v>
      </c>
      <c r="B198" s="1795" t="s">
        <v>158</v>
      </c>
      <c r="C198" s="404">
        <v>934</v>
      </c>
      <c r="D198" s="404">
        <v>123</v>
      </c>
      <c r="E198" s="404">
        <v>15.1664611590629</v>
      </c>
      <c r="F198" s="404">
        <v>8.8516483636249603</v>
      </c>
    </row>
    <row r="199" spans="1:6" x14ac:dyDescent="0.3">
      <c r="A199" s="405" t="s">
        <v>154</v>
      </c>
      <c r="B199" s="1795" t="s">
        <v>159</v>
      </c>
      <c r="C199" s="406">
        <v>3740</v>
      </c>
      <c r="D199" s="406">
        <v>-59</v>
      </c>
      <c r="E199" s="406">
        <v>-1.5530402737562501</v>
      </c>
      <c r="F199" s="406">
        <v>35.444502012802303</v>
      </c>
    </row>
    <row r="200" spans="1:6" x14ac:dyDescent="0.3">
      <c r="A200" s="407" t="s">
        <v>154</v>
      </c>
      <c r="B200" s="1795" t="s">
        <v>26</v>
      </c>
      <c r="C200" s="408">
        <v>20051</v>
      </c>
      <c r="D200" s="408">
        <v>538</v>
      </c>
      <c r="E200" s="408">
        <v>2.75713626812894</v>
      </c>
      <c r="F200" s="408">
        <v>190.02612563066799</v>
      </c>
    </row>
    <row r="201" spans="1:6" x14ac:dyDescent="0.3">
      <c r="A201" s="409" t="s">
        <v>154</v>
      </c>
      <c r="B201" s="1795" t="s">
        <v>160</v>
      </c>
      <c r="C201" s="410">
        <v>7547</v>
      </c>
      <c r="D201" s="410">
        <v>277</v>
      </c>
      <c r="E201" s="410">
        <v>3.8101788170563999</v>
      </c>
      <c r="F201" s="410">
        <v>71.523972377170793</v>
      </c>
    </row>
    <row r="202" spans="1:6" x14ac:dyDescent="0.3">
      <c r="A202" s="411" t="s">
        <v>154</v>
      </c>
      <c r="B202" s="1795" t="s">
        <v>161</v>
      </c>
      <c r="C202" s="412">
        <v>972</v>
      </c>
      <c r="D202" s="412">
        <v>169</v>
      </c>
      <c r="E202" s="412">
        <v>21.046077210460801</v>
      </c>
      <c r="F202" s="412">
        <v>9.2117796674983499</v>
      </c>
    </row>
    <row r="203" spans="1:6" x14ac:dyDescent="0.3">
      <c r="A203" s="413" t="s">
        <v>154</v>
      </c>
      <c r="B203" s="1795" t="s">
        <v>162</v>
      </c>
      <c r="C203" s="414">
        <v>6575</v>
      </c>
      <c r="D203" s="414">
        <v>108</v>
      </c>
      <c r="E203" s="414">
        <v>1.6700170094325</v>
      </c>
      <c r="F203" s="414">
        <v>62.312192709672502</v>
      </c>
    </row>
    <row r="204" spans="1:6" x14ac:dyDescent="0.3">
      <c r="A204" s="415" t="s">
        <v>154</v>
      </c>
      <c r="B204" s="1795" t="s">
        <v>163</v>
      </c>
      <c r="C204" s="416">
        <v>2112</v>
      </c>
      <c r="D204" s="416">
        <v>26</v>
      </c>
      <c r="E204" s="416">
        <v>1.2464046021093</v>
      </c>
      <c r="F204" s="416">
        <v>20.015718783700098</v>
      </c>
    </row>
    <row r="205" spans="1:6" x14ac:dyDescent="0.3">
      <c r="A205" s="417" t="s">
        <v>154</v>
      </c>
      <c r="B205" s="1795" t="s">
        <v>903</v>
      </c>
      <c r="C205" s="418">
        <v>294</v>
      </c>
      <c r="D205" s="418">
        <v>55</v>
      </c>
      <c r="E205" s="418">
        <v>23.012552301255202</v>
      </c>
      <c r="F205" s="418">
        <v>2.7862790352309799</v>
      </c>
    </row>
    <row r="206" spans="1:6" x14ac:dyDescent="0.3">
      <c r="A206" s="419" t="s">
        <v>154</v>
      </c>
      <c r="B206" s="1795" t="s">
        <v>904</v>
      </c>
      <c r="C206" s="420">
        <v>1818</v>
      </c>
      <c r="D206" s="420">
        <v>-29</v>
      </c>
      <c r="E206" s="420">
        <v>-1.57011369788847</v>
      </c>
      <c r="F206" s="420">
        <v>17.229439748469101</v>
      </c>
    </row>
    <row r="207" spans="1:6" x14ac:dyDescent="0.3">
      <c r="A207" s="421" t="s">
        <v>154</v>
      </c>
      <c r="B207" s="1795" t="s">
        <v>29</v>
      </c>
      <c r="C207" s="422">
        <v>5153</v>
      </c>
      <c r="D207" s="422">
        <v>99</v>
      </c>
      <c r="E207" s="422">
        <v>1.9588444796201001</v>
      </c>
      <c r="F207" s="422">
        <v>48.835700233147101</v>
      </c>
    </row>
    <row r="208" spans="1:6" x14ac:dyDescent="0.3">
      <c r="A208" s="423" t="s">
        <v>154</v>
      </c>
      <c r="B208" s="1795" t="s">
        <v>905</v>
      </c>
      <c r="C208" s="424">
        <v>1124</v>
      </c>
      <c r="D208" s="424">
        <v>111</v>
      </c>
      <c r="E208" s="424">
        <v>10.9575518262586</v>
      </c>
      <c r="F208" s="424">
        <v>10.652304882991899</v>
      </c>
    </row>
    <row r="209" spans="1:6" x14ac:dyDescent="0.3">
      <c r="A209" s="425" t="s">
        <v>154</v>
      </c>
      <c r="B209" s="1795" t="s">
        <v>906</v>
      </c>
      <c r="C209" s="426">
        <v>4029</v>
      </c>
      <c r="D209" s="426">
        <v>-12</v>
      </c>
      <c r="E209" s="426">
        <v>-0.29695619896065301</v>
      </c>
      <c r="F209" s="426">
        <v>38.183395350155202</v>
      </c>
    </row>
    <row r="210" spans="1:6" x14ac:dyDescent="0.3">
      <c r="A210" s="427" t="s">
        <v>154</v>
      </c>
      <c r="B210" s="1795" t="s">
        <v>30</v>
      </c>
      <c r="C210" s="428">
        <v>5239</v>
      </c>
      <c r="D210" s="428">
        <v>136</v>
      </c>
      <c r="E210" s="428">
        <v>2.6650989613952598</v>
      </c>
      <c r="F210" s="428">
        <v>49.650734236650102</v>
      </c>
    </row>
    <row r="211" spans="1:6" x14ac:dyDescent="0.3">
      <c r="A211" s="429" t="s">
        <v>154</v>
      </c>
      <c r="B211" s="1795" t="s">
        <v>164</v>
      </c>
      <c r="C211" s="430">
        <v>1252</v>
      </c>
      <c r="D211" s="430">
        <v>182</v>
      </c>
      <c r="E211" s="430">
        <v>17.009345794392502</v>
      </c>
      <c r="F211" s="430">
        <v>11.8653787486707</v>
      </c>
    </row>
    <row r="212" spans="1:6" x14ac:dyDescent="0.3">
      <c r="A212" s="431" t="s">
        <v>154</v>
      </c>
      <c r="B212" s="1795" t="s">
        <v>165</v>
      </c>
      <c r="C212" s="432">
        <v>3987</v>
      </c>
      <c r="D212" s="432">
        <v>-46</v>
      </c>
      <c r="E212" s="432">
        <v>-1.14059013141582</v>
      </c>
      <c r="F212" s="432">
        <v>37.785355487979302</v>
      </c>
    </row>
    <row r="213" spans="1:6" x14ac:dyDescent="0.3">
      <c r="A213" s="433" t="s">
        <v>154</v>
      </c>
      <c r="B213" s="1795" t="s">
        <v>31</v>
      </c>
      <c r="C213" s="434">
        <v>19389</v>
      </c>
      <c r="D213" s="434">
        <v>-342</v>
      </c>
      <c r="E213" s="434">
        <v>-1.7333130606659599</v>
      </c>
      <c r="F213" s="434">
        <v>183.75225923161099</v>
      </c>
    </row>
    <row r="214" spans="1:6" x14ac:dyDescent="0.3">
      <c r="A214" s="435" t="s">
        <v>154</v>
      </c>
      <c r="B214" s="1795" t="s">
        <v>32</v>
      </c>
      <c r="C214" s="436">
        <v>1180</v>
      </c>
      <c r="D214" s="436">
        <v>106</v>
      </c>
      <c r="E214" s="436">
        <v>9.8696461824953392</v>
      </c>
      <c r="F214" s="436">
        <v>11.183024699226401</v>
      </c>
    </row>
    <row r="215" spans="1:6" x14ac:dyDescent="0.3">
      <c r="A215" s="437" t="s">
        <v>154</v>
      </c>
      <c r="B215" s="1795" t="s">
        <v>166</v>
      </c>
      <c r="C215" s="438">
        <v>182</v>
      </c>
      <c r="D215" s="438">
        <v>20</v>
      </c>
      <c r="E215" s="438">
        <v>12.3456790123457</v>
      </c>
      <c r="F215" s="438">
        <v>1.72483940276204</v>
      </c>
    </row>
    <row r="216" spans="1:6" x14ac:dyDescent="0.3">
      <c r="A216" s="439" t="s">
        <v>154</v>
      </c>
      <c r="B216" s="1795" t="s">
        <v>167</v>
      </c>
      <c r="C216" s="440">
        <v>998</v>
      </c>
      <c r="D216" s="440">
        <v>86</v>
      </c>
      <c r="E216" s="440">
        <v>9.4298245614035103</v>
      </c>
      <c r="F216" s="440">
        <v>9.4581852964643502</v>
      </c>
    </row>
    <row r="217" spans="1:6" x14ac:dyDescent="0.3">
      <c r="A217" s="441" t="s">
        <v>154</v>
      </c>
      <c r="B217" s="1795" t="s">
        <v>33</v>
      </c>
      <c r="C217" s="442">
        <v>1580</v>
      </c>
      <c r="D217" s="442">
        <v>56</v>
      </c>
      <c r="E217" s="442">
        <v>3.6745406824147002</v>
      </c>
      <c r="F217" s="442">
        <v>14.9738805294726</v>
      </c>
    </row>
    <row r="218" spans="1:6" x14ac:dyDescent="0.3">
      <c r="A218" s="443" t="s">
        <v>154</v>
      </c>
      <c r="B218" s="1795" t="s">
        <v>168</v>
      </c>
      <c r="C218" s="444">
        <v>217</v>
      </c>
      <c r="D218" s="444">
        <v>7</v>
      </c>
      <c r="E218" s="444">
        <v>3.3333333333333299</v>
      </c>
      <c r="F218" s="444">
        <v>2.05653928790858</v>
      </c>
    </row>
    <row r="219" spans="1:6" x14ac:dyDescent="0.3">
      <c r="A219" s="445" t="s">
        <v>154</v>
      </c>
      <c r="B219" s="1795" t="s">
        <v>907</v>
      </c>
      <c r="C219" s="446">
        <v>1363</v>
      </c>
      <c r="D219" s="446">
        <v>49</v>
      </c>
      <c r="E219" s="446">
        <v>3.7290715372907202</v>
      </c>
      <c r="F219" s="446">
        <v>12.917341241563999</v>
      </c>
    </row>
    <row r="220" spans="1:6" x14ac:dyDescent="0.3">
      <c r="A220" s="447" t="s">
        <v>154</v>
      </c>
      <c r="B220" s="1795" t="s">
        <v>34</v>
      </c>
      <c r="C220" s="448">
        <v>6841</v>
      </c>
      <c r="D220" s="448">
        <v>-105</v>
      </c>
      <c r="E220" s="448">
        <v>-1.5116613878491201</v>
      </c>
      <c r="F220" s="448">
        <v>64.833111836786202</v>
      </c>
    </row>
    <row r="221" spans="1:6" x14ac:dyDescent="0.3">
      <c r="A221" s="449" t="s">
        <v>154</v>
      </c>
      <c r="B221" s="1795" t="s">
        <v>908</v>
      </c>
      <c r="C221" s="450">
        <v>1045</v>
      </c>
      <c r="D221" s="450">
        <v>134</v>
      </c>
      <c r="E221" s="450">
        <v>14.7091108671789</v>
      </c>
      <c r="F221" s="450">
        <v>9.9036108565182897</v>
      </c>
    </row>
    <row r="222" spans="1:6" x14ac:dyDescent="0.3">
      <c r="A222" s="451" t="s">
        <v>154</v>
      </c>
      <c r="B222" s="1795" t="s">
        <v>909</v>
      </c>
      <c r="C222" s="452">
        <v>5796</v>
      </c>
      <c r="D222" s="452">
        <v>-239</v>
      </c>
      <c r="E222" s="452">
        <v>-3.96023198011599</v>
      </c>
      <c r="F222" s="452">
        <v>54.929500980267903</v>
      </c>
    </row>
    <row r="223" spans="1:6" x14ac:dyDescent="0.3">
      <c r="A223" s="453" t="s">
        <v>154</v>
      </c>
      <c r="B223" s="1795" t="s">
        <v>35</v>
      </c>
      <c r="C223" s="454">
        <v>9788</v>
      </c>
      <c r="D223" s="454">
        <v>-399</v>
      </c>
      <c r="E223" s="454">
        <v>-3.9167566506331601</v>
      </c>
      <c r="F223" s="454">
        <v>92.762242166125304</v>
      </c>
    </row>
    <row r="224" spans="1:6" x14ac:dyDescent="0.3">
      <c r="A224" s="455" t="s">
        <v>154</v>
      </c>
      <c r="B224" s="1795" t="s">
        <v>169</v>
      </c>
      <c r="C224" s="456">
        <v>1466</v>
      </c>
      <c r="D224" s="456">
        <v>-35</v>
      </c>
      <c r="E224" s="456">
        <v>-2.3317788141239202</v>
      </c>
      <c r="F224" s="456">
        <v>13.8934866178524</v>
      </c>
    </row>
    <row r="225" spans="1:6" x14ac:dyDescent="0.3">
      <c r="A225" s="457" t="s">
        <v>154</v>
      </c>
      <c r="B225" s="1795" t="s">
        <v>170</v>
      </c>
      <c r="C225" s="458">
        <v>8322</v>
      </c>
      <c r="D225" s="458">
        <v>-364</v>
      </c>
      <c r="E225" s="458">
        <v>-4.1906516233018696</v>
      </c>
      <c r="F225" s="458">
        <v>78.868755548272901</v>
      </c>
    </row>
    <row r="226" spans="1:6" x14ac:dyDescent="0.3">
      <c r="A226" s="459" t="s">
        <v>154</v>
      </c>
      <c r="B226" s="1795" t="s">
        <v>171</v>
      </c>
      <c r="C226" s="460">
        <v>2757</v>
      </c>
      <c r="D226" s="460">
        <v>-234</v>
      </c>
      <c r="E226" s="460">
        <v>-7.8234704112336999</v>
      </c>
      <c r="F226" s="460">
        <v>26.128473809972199</v>
      </c>
    </row>
    <row r="227" spans="1:6" x14ac:dyDescent="0.3">
      <c r="A227" s="461" t="s">
        <v>154</v>
      </c>
      <c r="B227" s="1795" t="s">
        <v>172</v>
      </c>
      <c r="C227" s="462">
        <v>721</v>
      </c>
      <c r="D227" s="462">
        <v>114</v>
      </c>
      <c r="E227" s="462">
        <v>18.780889621087301</v>
      </c>
      <c r="F227" s="462">
        <v>6.83301763401884</v>
      </c>
    </row>
    <row r="228" spans="1:6" x14ac:dyDescent="0.3">
      <c r="A228" s="463" t="s">
        <v>154</v>
      </c>
      <c r="B228" s="1795" t="s">
        <v>173</v>
      </c>
      <c r="C228" s="464">
        <v>2036</v>
      </c>
      <c r="D228" s="464">
        <v>-348</v>
      </c>
      <c r="E228" s="464">
        <v>-14.597315436241599</v>
      </c>
      <c r="F228" s="464">
        <v>19.295456175953301</v>
      </c>
    </row>
    <row r="229" spans="1:6" x14ac:dyDescent="0.3">
      <c r="A229" s="465" t="s">
        <v>174</v>
      </c>
      <c r="B229" s="1795" t="s">
        <v>175</v>
      </c>
      <c r="C229" s="466">
        <v>11711</v>
      </c>
      <c r="D229" s="466">
        <v>755</v>
      </c>
      <c r="E229" s="466">
        <v>6.8912011683095997</v>
      </c>
      <c r="F229" s="466">
        <v>110.986781570034</v>
      </c>
    </row>
    <row r="230" spans="1:6" x14ac:dyDescent="0.3">
      <c r="A230" s="467" t="s">
        <v>176</v>
      </c>
      <c r="B230" s="1795" t="s">
        <v>177</v>
      </c>
      <c r="C230" s="468">
        <v>1339</v>
      </c>
      <c r="D230" s="468">
        <v>280</v>
      </c>
      <c r="E230" s="468">
        <v>26.440037771482501</v>
      </c>
      <c r="F230" s="468">
        <v>12.689889891749299</v>
      </c>
    </row>
    <row r="231" spans="1:6" x14ac:dyDescent="0.3">
      <c r="A231" s="469" t="s">
        <v>178</v>
      </c>
      <c r="B231" s="1795" t="s">
        <v>179</v>
      </c>
      <c r="C231" s="470">
        <v>17729</v>
      </c>
      <c r="D231" s="470">
        <v>911</v>
      </c>
      <c r="E231" s="470">
        <v>5.4168153169223396</v>
      </c>
      <c r="F231" s="470">
        <v>168.020207536089</v>
      </c>
    </row>
    <row r="232" spans="1:6" x14ac:dyDescent="0.3">
      <c r="A232" s="471" t="s">
        <v>178</v>
      </c>
      <c r="B232" s="1795" t="s">
        <v>23</v>
      </c>
      <c r="C232" s="472">
        <v>403</v>
      </c>
      <c r="D232" s="472">
        <v>33</v>
      </c>
      <c r="E232" s="472">
        <v>8.9189189189189193</v>
      </c>
      <c r="F232" s="472">
        <v>3.81928724897308</v>
      </c>
    </row>
    <row r="233" spans="1:6" x14ac:dyDescent="0.3">
      <c r="A233" s="473" t="s">
        <v>178</v>
      </c>
      <c r="B233" s="1795" t="s">
        <v>24</v>
      </c>
      <c r="C233" s="474">
        <v>248</v>
      </c>
      <c r="D233" s="474">
        <v>23</v>
      </c>
      <c r="E233" s="474">
        <v>10.2222222222222</v>
      </c>
      <c r="F233" s="474">
        <v>2.3503306147526701</v>
      </c>
    </row>
    <row r="234" spans="1:6" x14ac:dyDescent="0.3">
      <c r="A234" s="475" t="s">
        <v>178</v>
      </c>
      <c r="B234" s="1795" t="s">
        <v>25</v>
      </c>
      <c r="C234" s="476">
        <v>155</v>
      </c>
      <c r="D234" s="476">
        <v>10</v>
      </c>
      <c r="E234" s="476">
        <v>6.8965517241379297</v>
      </c>
      <c r="F234" s="476">
        <v>1.4689566342204201</v>
      </c>
    </row>
    <row r="235" spans="1:6" x14ac:dyDescent="0.3">
      <c r="A235" s="477" t="s">
        <v>178</v>
      </c>
      <c r="B235" s="1795" t="s">
        <v>26</v>
      </c>
      <c r="C235" s="478">
        <v>7879</v>
      </c>
      <c r="D235" s="478">
        <v>242</v>
      </c>
      <c r="E235" s="478">
        <v>3.1687835537514699</v>
      </c>
      <c r="F235" s="478">
        <v>74.670382716275199</v>
      </c>
    </row>
    <row r="236" spans="1:6" x14ac:dyDescent="0.3">
      <c r="A236" s="479" t="s">
        <v>178</v>
      </c>
      <c r="B236" s="1795" t="s">
        <v>31</v>
      </c>
      <c r="C236" s="480">
        <v>9447</v>
      </c>
      <c r="D236" s="480">
        <v>636</v>
      </c>
      <c r="E236" s="480">
        <v>7.2182499148791299</v>
      </c>
      <c r="F236" s="480">
        <v>89.530537570840394</v>
      </c>
    </row>
    <row r="237" spans="1:6" x14ac:dyDescent="0.3">
      <c r="A237" s="481" t="s">
        <v>180</v>
      </c>
      <c r="B237" s="1795" t="s">
        <v>181</v>
      </c>
      <c r="C237" s="482">
        <v>2424</v>
      </c>
      <c r="D237" s="482">
        <v>291</v>
      </c>
      <c r="E237" s="482">
        <v>13.6427566807314</v>
      </c>
      <c r="F237" s="482">
        <v>22.972586331292199</v>
      </c>
    </row>
    <row r="238" spans="1:6" x14ac:dyDescent="0.3">
      <c r="A238" s="483" t="s">
        <v>180</v>
      </c>
      <c r="B238" s="1795" t="s">
        <v>23</v>
      </c>
      <c r="C238" s="484">
        <v>1198</v>
      </c>
      <c r="D238" s="484">
        <v>186</v>
      </c>
      <c r="E238" s="484">
        <v>18.3794466403162</v>
      </c>
      <c r="F238" s="484">
        <v>11.353613211587501</v>
      </c>
    </row>
    <row r="239" spans="1:6" x14ac:dyDescent="0.3">
      <c r="A239" s="485" t="s">
        <v>180</v>
      </c>
      <c r="B239" s="1795" t="s">
        <v>24</v>
      </c>
      <c r="C239" s="486">
        <v>795</v>
      </c>
      <c r="D239" s="486">
        <v>134</v>
      </c>
      <c r="E239" s="486">
        <v>20.272314674735298</v>
      </c>
      <c r="F239" s="486">
        <v>7.5343259626143899</v>
      </c>
    </row>
    <row r="240" spans="1:6" x14ac:dyDescent="0.3">
      <c r="A240" s="487" t="s">
        <v>180</v>
      </c>
      <c r="B240" s="1795" t="s">
        <v>25</v>
      </c>
      <c r="C240" s="488">
        <v>403</v>
      </c>
      <c r="D240" s="488">
        <v>52</v>
      </c>
      <c r="E240" s="488">
        <v>14.814814814814801</v>
      </c>
      <c r="F240" s="488">
        <v>3.81928724897308</v>
      </c>
    </row>
    <row r="241" spans="1:6" x14ac:dyDescent="0.3">
      <c r="A241" s="489" t="s">
        <v>180</v>
      </c>
      <c r="B241" s="1795" t="s">
        <v>26</v>
      </c>
      <c r="C241" s="490">
        <v>777</v>
      </c>
      <c r="D241" s="490">
        <v>101</v>
      </c>
      <c r="E241" s="490">
        <v>14.9408284023669</v>
      </c>
      <c r="F241" s="490">
        <v>7.3637374502533097</v>
      </c>
    </row>
    <row r="242" spans="1:6" x14ac:dyDescent="0.3">
      <c r="A242" s="491" t="s">
        <v>180</v>
      </c>
      <c r="B242" s="1795" t="s">
        <v>27</v>
      </c>
      <c r="C242" s="492">
        <v>313</v>
      </c>
      <c r="D242" s="492">
        <v>53</v>
      </c>
      <c r="E242" s="492">
        <v>20.384615384615401</v>
      </c>
      <c r="F242" s="492">
        <v>2.96634468716768</v>
      </c>
    </row>
    <row r="243" spans="1:6" x14ac:dyDescent="0.3">
      <c r="A243" s="493" t="s">
        <v>180</v>
      </c>
      <c r="B243" s="1795" t="s">
        <v>28</v>
      </c>
      <c r="C243" s="494">
        <v>19</v>
      </c>
      <c r="D243" s="494">
        <v>1</v>
      </c>
      <c r="E243" s="494">
        <v>5.5555555555555598</v>
      </c>
      <c r="F243" s="494">
        <v>0.18006565193669599</v>
      </c>
    </row>
    <row r="244" spans="1:6" x14ac:dyDescent="0.3">
      <c r="A244" s="495" t="s">
        <v>180</v>
      </c>
      <c r="B244" s="1795" t="s">
        <v>29</v>
      </c>
      <c r="C244" s="496">
        <v>216</v>
      </c>
      <c r="D244" s="496">
        <v>18</v>
      </c>
      <c r="E244" s="496">
        <v>9.0909090909090899</v>
      </c>
      <c r="F244" s="496">
        <v>2.0470621483329698</v>
      </c>
    </row>
    <row r="245" spans="1:6" x14ac:dyDescent="0.3">
      <c r="A245" s="497" t="s">
        <v>180</v>
      </c>
      <c r="B245" s="1795" t="s">
        <v>30</v>
      </c>
      <c r="C245" s="498">
        <v>229</v>
      </c>
      <c r="D245" s="498">
        <v>29</v>
      </c>
      <c r="E245" s="498">
        <v>14.5</v>
      </c>
      <c r="F245" s="498">
        <v>2.17026496281597</v>
      </c>
    </row>
    <row r="246" spans="1:6" x14ac:dyDescent="0.3">
      <c r="A246" s="499" t="s">
        <v>180</v>
      </c>
      <c r="B246" s="1795" t="s">
        <v>31</v>
      </c>
      <c r="C246" s="500">
        <v>449</v>
      </c>
      <c r="D246" s="500">
        <v>4</v>
      </c>
      <c r="E246" s="500">
        <v>0.898876404494382</v>
      </c>
      <c r="F246" s="500">
        <v>4.2552356694514</v>
      </c>
    </row>
    <row r="247" spans="1:6" x14ac:dyDescent="0.3">
      <c r="A247" s="501" t="s">
        <v>180</v>
      </c>
      <c r="B247" s="1795" t="s">
        <v>32</v>
      </c>
      <c r="C247" s="502">
        <v>41</v>
      </c>
      <c r="D247" s="502">
        <v>6</v>
      </c>
      <c r="E247" s="502">
        <v>17.1428571428571</v>
      </c>
      <c r="F247" s="502">
        <v>0.388562722600239</v>
      </c>
    </row>
    <row r="248" spans="1:6" x14ac:dyDescent="0.3">
      <c r="A248" s="503" t="s">
        <v>180</v>
      </c>
      <c r="B248" s="1795" t="s">
        <v>33</v>
      </c>
      <c r="C248" s="504">
        <v>9</v>
      </c>
      <c r="D248" s="504">
        <v>4</v>
      </c>
      <c r="E248" s="504">
        <v>80</v>
      </c>
      <c r="F248" s="504">
        <v>8.5294256180540304E-2</v>
      </c>
    </row>
    <row r="249" spans="1:6" x14ac:dyDescent="0.3">
      <c r="A249" s="505" t="s">
        <v>180</v>
      </c>
      <c r="B249" s="1795" t="s">
        <v>34</v>
      </c>
      <c r="C249" s="506">
        <v>68</v>
      </c>
      <c r="D249" s="506">
        <v>11</v>
      </c>
      <c r="E249" s="506">
        <v>19.2982456140351</v>
      </c>
      <c r="F249" s="506">
        <v>0.64444549114186001</v>
      </c>
    </row>
    <row r="250" spans="1:6" x14ac:dyDescent="0.3">
      <c r="A250" s="507" t="s">
        <v>180</v>
      </c>
      <c r="B250" s="1795" t="s">
        <v>35</v>
      </c>
      <c r="C250" s="508">
        <v>331</v>
      </c>
      <c r="D250" s="508">
        <v>-17</v>
      </c>
      <c r="E250" s="508">
        <v>-4.8850574712643704</v>
      </c>
      <c r="F250" s="508">
        <v>3.1369331995287602</v>
      </c>
    </row>
    <row r="251" spans="1:6" x14ac:dyDescent="0.3">
      <c r="A251" s="509" t="s">
        <v>182</v>
      </c>
      <c r="B251" s="1795" t="s">
        <v>183</v>
      </c>
      <c r="C251" s="510">
        <v>62238</v>
      </c>
      <c r="D251" s="510">
        <v>7671</v>
      </c>
      <c r="E251" s="510">
        <v>14.057947110891201</v>
      </c>
      <c r="F251" s="510">
        <v>589.83821290716298</v>
      </c>
    </row>
    <row r="252" spans="1:6" x14ac:dyDescent="0.3">
      <c r="A252" s="511" t="s">
        <v>182</v>
      </c>
      <c r="B252" s="1795" t="s">
        <v>23</v>
      </c>
      <c r="C252" s="512">
        <v>6827</v>
      </c>
      <c r="D252" s="512">
        <v>641</v>
      </c>
      <c r="E252" s="512">
        <v>10.362107985774299</v>
      </c>
      <c r="F252" s="512">
        <v>64.700431882727599</v>
      </c>
    </row>
    <row r="253" spans="1:6" x14ac:dyDescent="0.3">
      <c r="A253" s="513" t="s">
        <v>182</v>
      </c>
      <c r="B253" s="1795" t="s">
        <v>24</v>
      </c>
      <c r="C253" s="514">
        <v>3766</v>
      </c>
      <c r="D253" s="514">
        <v>380</v>
      </c>
      <c r="E253" s="514">
        <v>11.222681630242199</v>
      </c>
      <c r="F253" s="514">
        <v>35.690907641768298</v>
      </c>
    </row>
    <row r="254" spans="1:6" x14ac:dyDescent="0.3">
      <c r="A254" s="515" t="s">
        <v>182</v>
      </c>
      <c r="B254" s="1795" t="s">
        <v>25</v>
      </c>
      <c r="C254" s="516">
        <v>3061</v>
      </c>
      <c r="D254" s="516">
        <v>261</v>
      </c>
      <c r="E254" s="516">
        <v>9.3214285714285694</v>
      </c>
      <c r="F254" s="516">
        <v>29.009524240959301</v>
      </c>
    </row>
    <row r="255" spans="1:6" x14ac:dyDescent="0.3">
      <c r="A255" s="517" t="s">
        <v>182</v>
      </c>
      <c r="B255" s="1795" t="s">
        <v>26</v>
      </c>
      <c r="C255" s="518">
        <v>33175</v>
      </c>
      <c r="D255" s="518">
        <v>4111</v>
      </c>
      <c r="E255" s="518">
        <v>14.144646297825499</v>
      </c>
      <c r="F255" s="518">
        <v>314.40410542104701</v>
      </c>
    </row>
    <row r="256" spans="1:6" x14ac:dyDescent="0.3">
      <c r="A256" s="519" t="s">
        <v>182</v>
      </c>
      <c r="B256" s="1795" t="s">
        <v>27</v>
      </c>
      <c r="C256" s="520">
        <v>7693</v>
      </c>
      <c r="D256" s="520">
        <v>1063</v>
      </c>
      <c r="E256" s="520">
        <v>16.0331825037707</v>
      </c>
      <c r="F256" s="520">
        <v>72.907634755210694</v>
      </c>
    </row>
    <row r="257" spans="1:6" x14ac:dyDescent="0.3">
      <c r="A257" s="521" t="s">
        <v>182</v>
      </c>
      <c r="B257" s="1795" t="s">
        <v>28</v>
      </c>
      <c r="C257" s="522">
        <v>1764</v>
      </c>
      <c r="D257" s="522">
        <v>188</v>
      </c>
      <c r="E257" s="522">
        <v>11.9289340101523</v>
      </c>
      <c r="F257" s="522">
        <v>16.717674211385901</v>
      </c>
    </row>
    <row r="258" spans="1:6" x14ac:dyDescent="0.3">
      <c r="A258" s="523" t="s">
        <v>182</v>
      </c>
      <c r="B258" s="1795" t="s">
        <v>29</v>
      </c>
      <c r="C258" s="524">
        <v>8520</v>
      </c>
      <c r="D258" s="524">
        <v>1061</v>
      </c>
      <c r="E258" s="524">
        <v>14.2244268668722</v>
      </c>
      <c r="F258" s="524">
        <v>80.745229184244806</v>
      </c>
    </row>
    <row r="259" spans="1:6" x14ac:dyDescent="0.3">
      <c r="A259" s="525" t="s">
        <v>182</v>
      </c>
      <c r="B259" s="1795" t="s">
        <v>30</v>
      </c>
      <c r="C259" s="526">
        <v>15198</v>
      </c>
      <c r="D259" s="526">
        <v>1799</v>
      </c>
      <c r="E259" s="526">
        <v>13.4263751026196</v>
      </c>
      <c r="F259" s="526">
        <v>144.03356727020599</v>
      </c>
    </row>
    <row r="260" spans="1:6" x14ac:dyDescent="0.3">
      <c r="A260" s="527" t="s">
        <v>182</v>
      </c>
      <c r="B260" s="1795" t="s">
        <v>31</v>
      </c>
      <c r="C260" s="528">
        <v>19478</v>
      </c>
      <c r="D260" s="528">
        <v>2832</v>
      </c>
      <c r="E260" s="528">
        <v>17.0130962393368</v>
      </c>
      <c r="F260" s="528">
        <v>184.59572465383999</v>
      </c>
    </row>
    <row r="261" spans="1:6" x14ac:dyDescent="0.3">
      <c r="A261" s="529" t="s">
        <v>182</v>
      </c>
      <c r="B261" s="1795" t="s">
        <v>32</v>
      </c>
      <c r="C261" s="530">
        <v>1655</v>
      </c>
      <c r="D261" s="530">
        <v>318</v>
      </c>
      <c r="E261" s="530">
        <v>23.784592370979802</v>
      </c>
      <c r="F261" s="530">
        <v>15.684665997643799</v>
      </c>
    </row>
    <row r="262" spans="1:6" x14ac:dyDescent="0.3">
      <c r="A262" s="531" t="s">
        <v>182</v>
      </c>
      <c r="B262" s="1795" t="s">
        <v>33</v>
      </c>
      <c r="C262" s="532">
        <v>895</v>
      </c>
      <c r="D262" s="532">
        <v>127</v>
      </c>
      <c r="E262" s="532">
        <v>16.5364583333333</v>
      </c>
      <c r="F262" s="532">
        <v>8.48203992017595</v>
      </c>
    </row>
    <row r="263" spans="1:6" x14ac:dyDescent="0.3">
      <c r="A263" s="533" t="s">
        <v>182</v>
      </c>
      <c r="B263" s="1795" t="s">
        <v>34</v>
      </c>
      <c r="C263" s="534">
        <v>4907</v>
      </c>
      <c r="D263" s="534">
        <v>703</v>
      </c>
      <c r="E263" s="534">
        <v>16.722169362511899</v>
      </c>
      <c r="F263" s="534">
        <v>46.504323897545703</v>
      </c>
    </row>
    <row r="264" spans="1:6" x14ac:dyDescent="0.3">
      <c r="A264" s="535" t="s">
        <v>182</v>
      </c>
      <c r="B264" s="1795" t="s">
        <v>35</v>
      </c>
      <c r="C264" s="536">
        <v>12021</v>
      </c>
      <c r="D264" s="536">
        <v>1684</v>
      </c>
      <c r="E264" s="536">
        <v>16.290993518428898</v>
      </c>
      <c r="F264" s="536">
        <v>113.92469483847501</v>
      </c>
    </row>
    <row r="265" spans="1:6" x14ac:dyDescent="0.3">
      <c r="A265" s="537" t="s">
        <v>182</v>
      </c>
      <c r="B265" s="1795" t="s">
        <v>171</v>
      </c>
      <c r="C265" s="538">
        <v>2758</v>
      </c>
      <c r="D265" s="538">
        <v>87</v>
      </c>
      <c r="E265" s="538">
        <v>3.2572070385623402</v>
      </c>
      <c r="F265" s="538">
        <v>26.1379509495478</v>
      </c>
    </row>
    <row r="266" spans="1:6" x14ac:dyDescent="0.3">
      <c r="A266" s="539" t="s">
        <v>184</v>
      </c>
      <c r="B266" s="1795" t="s">
        <v>185</v>
      </c>
      <c r="C266" s="540">
        <v>274</v>
      </c>
      <c r="D266" s="540">
        <v>82</v>
      </c>
      <c r="E266" s="540">
        <v>42.7083333333333</v>
      </c>
      <c r="F266" s="540">
        <v>2.5967362437186701</v>
      </c>
    </row>
    <row r="267" spans="1:6" x14ac:dyDescent="0.3">
      <c r="A267" s="541" t="s">
        <v>184</v>
      </c>
      <c r="B267" s="1795" t="s">
        <v>23</v>
      </c>
      <c r="C267" s="542">
        <v>109</v>
      </c>
      <c r="D267" s="542">
        <v>27</v>
      </c>
      <c r="E267" s="542">
        <v>32.9268292682927</v>
      </c>
      <c r="F267" s="542">
        <v>1.0330082137420999</v>
      </c>
    </row>
    <row r="268" spans="1:6" x14ac:dyDescent="0.3">
      <c r="A268" s="543" t="s">
        <v>184</v>
      </c>
      <c r="B268" s="1795" t="s">
        <v>24</v>
      </c>
      <c r="C268" s="544">
        <v>89</v>
      </c>
      <c r="D268" s="544">
        <v>30</v>
      </c>
      <c r="E268" s="544">
        <v>50.847457627118601</v>
      </c>
      <c r="F268" s="544">
        <v>0.84346542222978704</v>
      </c>
    </row>
    <row r="269" spans="1:6" x14ac:dyDescent="0.3">
      <c r="A269" s="545" t="s">
        <v>184</v>
      </c>
      <c r="B269" s="1795" t="s">
        <v>25</v>
      </c>
      <c r="C269" s="546">
        <v>20</v>
      </c>
      <c r="D269" s="546">
        <v>-3</v>
      </c>
      <c r="E269" s="546">
        <v>-13.0434782608696</v>
      </c>
      <c r="F269" s="546">
        <v>0.18954279151231199</v>
      </c>
    </row>
    <row r="270" spans="1:6" x14ac:dyDescent="0.3">
      <c r="A270" s="547" t="s">
        <v>184</v>
      </c>
      <c r="B270" s="1795" t="s">
        <v>26</v>
      </c>
      <c r="C270" s="548">
        <v>113</v>
      </c>
      <c r="D270" s="548">
        <v>37</v>
      </c>
      <c r="E270" s="548">
        <v>48.684210526315802</v>
      </c>
      <c r="F270" s="548">
        <v>1.07091677204456</v>
      </c>
    </row>
    <row r="271" spans="1:6" x14ac:dyDescent="0.3">
      <c r="A271" s="549" t="s">
        <v>184</v>
      </c>
      <c r="B271" s="1795" t="s">
        <v>31</v>
      </c>
      <c r="C271" s="550">
        <v>52</v>
      </c>
      <c r="D271" s="550">
        <v>18</v>
      </c>
      <c r="E271" s="550">
        <v>52.941176470588204</v>
      </c>
      <c r="F271" s="550">
        <v>0.49281125793201003</v>
      </c>
    </row>
    <row r="272" spans="1:6" x14ac:dyDescent="0.3">
      <c r="A272" s="551" t="s">
        <v>186</v>
      </c>
      <c r="B272" s="1795" t="s">
        <v>187</v>
      </c>
      <c r="C272" s="552">
        <v>26</v>
      </c>
      <c r="D272" s="552">
        <v>-11</v>
      </c>
      <c r="E272" s="552">
        <v>-29.729729729729701</v>
      </c>
      <c r="F272" s="552">
        <v>0.24640562896600501</v>
      </c>
    </row>
    <row r="273" spans="1:6" x14ac:dyDescent="0.3">
      <c r="A273" s="553" t="s">
        <v>186</v>
      </c>
      <c r="B273" s="1795" t="s">
        <v>23</v>
      </c>
      <c r="C273" s="554">
        <v>13</v>
      </c>
      <c r="D273" s="554">
        <v>-6</v>
      </c>
      <c r="E273" s="554">
        <v>-31.578947368421101</v>
      </c>
      <c r="F273" s="554">
        <v>0.12320281448300301</v>
      </c>
    </row>
    <row r="274" spans="1:6" x14ac:dyDescent="0.3">
      <c r="A274" s="555" t="s">
        <v>186</v>
      </c>
      <c r="B274" s="1795" t="s">
        <v>24</v>
      </c>
      <c r="C274" s="556">
        <v>12</v>
      </c>
      <c r="D274" s="556">
        <v>-2</v>
      </c>
      <c r="E274" s="556">
        <v>-14.285714285714301</v>
      </c>
      <c r="F274" s="556">
        <v>0.113725674907387</v>
      </c>
    </row>
    <row r="275" spans="1:6" x14ac:dyDescent="0.3">
      <c r="A275" s="557" t="s">
        <v>186</v>
      </c>
      <c r="B275" s="1795" t="s">
        <v>25</v>
      </c>
      <c r="C275" s="558">
        <v>1</v>
      </c>
      <c r="D275" s="558">
        <v>-4</v>
      </c>
      <c r="E275" s="558">
        <v>-80</v>
      </c>
      <c r="F275" s="558">
        <v>9.4771395756155907E-3</v>
      </c>
    </row>
    <row r="276" spans="1:6" x14ac:dyDescent="0.3">
      <c r="A276" s="559" t="s">
        <v>186</v>
      </c>
      <c r="B276" s="1795" t="s">
        <v>26</v>
      </c>
      <c r="C276" s="560">
        <v>6</v>
      </c>
      <c r="D276" s="560">
        <v>-6</v>
      </c>
      <c r="E276" s="560">
        <v>-50</v>
      </c>
      <c r="F276" s="560">
        <v>5.6862837453693499E-2</v>
      </c>
    </row>
    <row r="277" spans="1:6" x14ac:dyDescent="0.3">
      <c r="A277" s="561" t="s">
        <v>186</v>
      </c>
      <c r="B277" s="1795" t="s">
        <v>31</v>
      </c>
      <c r="C277" s="562">
        <v>7</v>
      </c>
      <c r="D277" s="562">
        <v>1</v>
      </c>
      <c r="E277" s="562">
        <v>16.6666666666667</v>
      </c>
      <c r="F277" s="562">
        <v>6.6339977029309105E-2</v>
      </c>
    </row>
    <row r="278" spans="1:6" x14ac:dyDescent="0.3">
      <c r="A278" s="563" t="s">
        <v>188</v>
      </c>
      <c r="B278" s="1795" t="s">
        <v>189</v>
      </c>
      <c r="C278" s="564">
        <v>1398</v>
      </c>
      <c r="D278" s="564">
        <v>64</v>
      </c>
      <c r="E278" s="564">
        <v>4.7976011994003001</v>
      </c>
      <c r="F278" s="564">
        <v>13.249041126710599</v>
      </c>
    </row>
    <row r="279" spans="1:6" x14ac:dyDescent="0.3">
      <c r="A279" s="565" t="s">
        <v>190</v>
      </c>
      <c r="B279" s="1795" t="s">
        <v>191</v>
      </c>
      <c r="C279" s="566">
        <v>9905</v>
      </c>
      <c r="D279" s="566">
        <v>-1242</v>
      </c>
      <c r="E279" s="566">
        <v>-11.142011303489699</v>
      </c>
      <c r="F279" s="566">
        <v>93.871067496472406</v>
      </c>
    </row>
    <row r="280" spans="1:6" x14ac:dyDescent="0.3">
      <c r="A280" s="567" t="s">
        <v>190</v>
      </c>
      <c r="B280" s="1795" t="s">
        <v>192</v>
      </c>
      <c r="C280" s="568">
        <v>109</v>
      </c>
      <c r="D280" s="568">
        <v>-157</v>
      </c>
      <c r="E280" s="568">
        <v>-59.0225563909774</v>
      </c>
      <c r="F280" s="568">
        <v>1.0330082137420999</v>
      </c>
    </row>
    <row r="281" spans="1:6" x14ac:dyDescent="0.3">
      <c r="A281" s="569" t="s">
        <v>190</v>
      </c>
      <c r="B281" s="1795" t="s">
        <v>193</v>
      </c>
      <c r="C281" s="570">
        <v>236</v>
      </c>
      <c r="D281" s="570">
        <v>-54</v>
      </c>
      <c r="E281" s="570">
        <v>-18.620689655172399</v>
      </c>
      <c r="F281" s="570">
        <v>2.2366049398452801</v>
      </c>
    </row>
    <row r="282" spans="1:6" x14ac:dyDescent="0.3">
      <c r="A282" s="571" t="s">
        <v>190</v>
      </c>
      <c r="B282" s="1795" t="s">
        <v>194</v>
      </c>
      <c r="C282" s="572">
        <v>999</v>
      </c>
      <c r="D282" s="572">
        <v>-392</v>
      </c>
      <c r="E282" s="572">
        <v>-28.181164629762801</v>
      </c>
      <c r="F282" s="572">
        <v>9.4676624360399693</v>
      </c>
    </row>
    <row r="283" spans="1:6" x14ac:dyDescent="0.3">
      <c r="A283" s="573" t="s">
        <v>190</v>
      </c>
      <c r="B283" s="1795" t="s">
        <v>195</v>
      </c>
      <c r="C283" s="574">
        <v>5072</v>
      </c>
      <c r="D283" s="574">
        <v>-1140</v>
      </c>
      <c r="E283" s="574">
        <v>-18.351577591757898</v>
      </c>
      <c r="F283" s="574">
        <v>48.068051927522198</v>
      </c>
    </row>
    <row r="284" spans="1:6" x14ac:dyDescent="0.3">
      <c r="A284" s="575" t="s">
        <v>190</v>
      </c>
      <c r="B284" s="1795" t="s">
        <v>196</v>
      </c>
      <c r="C284" s="576">
        <v>3489</v>
      </c>
      <c r="D284" s="576">
        <v>501</v>
      </c>
      <c r="E284" s="576">
        <v>16.767068273092399</v>
      </c>
      <c r="F284" s="576">
        <v>33.0657399793228</v>
      </c>
    </row>
    <row r="285" spans="1:6" x14ac:dyDescent="0.3">
      <c r="A285" s="577" t="s">
        <v>197</v>
      </c>
      <c r="B285" s="19" t="s">
        <v>198</v>
      </c>
      <c r="C285" s="578">
        <v>11503</v>
      </c>
      <c r="D285" s="578">
        <v>1501</v>
      </c>
      <c r="E285" s="578">
        <v>15.0069986002799</v>
      </c>
      <c r="F285" s="578">
        <v>109.01553653830599</v>
      </c>
    </row>
    <row r="286" spans="1:6" x14ac:dyDescent="0.3">
      <c r="A286" s="579" t="s">
        <v>197</v>
      </c>
      <c r="B286" s="1795" t="s">
        <v>23</v>
      </c>
      <c r="C286" s="580">
        <v>1439</v>
      </c>
      <c r="D286" s="580">
        <v>226</v>
      </c>
      <c r="E286" s="580">
        <v>18.631492168178099</v>
      </c>
      <c r="F286" s="580">
        <v>13.6376038493108</v>
      </c>
    </row>
    <row r="287" spans="1:6" x14ac:dyDescent="0.3">
      <c r="A287" s="581" t="s">
        <v>197</v>
      </c>
      <c r="B287" s="1795" t="s">
        <v>24</v>
      </c>
      <c r="C287" s="582">
        <v>771</v>
      </c>
      <c r="D287" s="582">
        <v>105</v>
      </c>
      <c r="E287" s="582">
        <v>15.765765765765799</v>
      </c>
      <c r="F287" s="582">
        <v>7.3068746127996196</v>
      </c>
    </row>
    <row r="288" spans="1:6" x14ac:dyDescent="0.3">
      <c r="A288" s="583" t="s">
        <v>197</v>
      </c>
      <c r="B288" s="1795" t="s">
        <v>156</v>
      </c>
      <c r="C288" s="584">
        <v>444</v>
      </c>
      <c r="D288" s="584">
        <v>52</v>
      </c>
      <c r="E288" s="584">
        <v>13.265306122448999</v>
      </c>
      <c r="F288" s="584">
        <v>4.20784997157332</v>
      </c>
    </row>
    <row r="289" spans="1:6" x14ac:dyDescent="0.3">
      <c r="A289" s="585" t="s">
        <v>197</v>
      </c>
      <c r="B289" s="1795" t="s">
        <v>157</v>
      </c>
      <c r="C289" s="586">
        <v>327</v>
      </c>
      <c r="D289" s="586">
        <v>53</v>
      </c>
      <c r="E289" s="586">
        <v>19.343065693430699</v>
      </c>
      <c r="F289" s="586">
        <v>3.0990246412263001</v>
      </c>
    </row>
    <row r="290" spans="1:6" x14ac:dyDescent="0.3">
      <c r="A290" s="587" t="s">
        <v>197</v>
      </c>
      <c r="B290" s="1795" t="s">
        <v>25</v>
      </c>
      <c r="C290" s="588">
        <v>668</v>
      </c>
      <c r="D290" s="588">
        <v>121</v>
      </c>
      <c r="E290" s="588">
        <v>22.120658135283399</v>
      </c>
      <c r="F290" s="588">
        <v>6.3307292365112096</v>
      </c>
    </row>
    <row r="291" spans="1:6" x14ac:dyDescent="0.3">
      <c r="A291" s="589" t="s">
        <v>197</v>
      </c>
      <c r="B291" s="1795" t="s">
        <v>158</v>
      </c>
      <c r="C291" s="590">
        <v>310</v>
      </c>
      <c r="D291" s="590">
        <v>39</v>
      </c>
      <c r="E291" s="590">
        <v>14.3911439114391</v>
      </c>
      <c r="F291" s="590">
        <v>2.93791326844083</v>
      </c>
    </row>
    <row r="292" spans="1:6" x14ac:dyDescent="0.3">
      <c r="A292" s="591" t="s">
        <v>197</v>
      </c>
      <c r="B292" s="1795" t="s">
        <v>159</v>
      </c>
      <c r="C292" s="592">
        <v>358</v>
      </c>
      <c r="D292" s="592">
        <v>82</v>
      </c>
      <c r="E292" s="592">
        <v>29.710144927536199</v>
      </c>
      <c r="F292" s="592">
        <v>3.39281596807038</v>
      </c>
    </row>
    <row r="293" spans="1:6" x14ac:dyDescent="0.3">
      <c r="A293" s="593" t="s">
        <v>197</v>
      </c>
      <c r="B293" s="1795" t="s">
        <v>26</v>
      </c>
      <c r="C293" s="594">
        <v>5106</v>
      </c>
      <c r="D293" s="594">
        <v>918</v>
      </c>
      <c r="E293" s="594">
        <v>21.919770773639002</v>
      </c>
      <c r="F293" s="594">
        <v>48.390274673093202</v>
      </c>
    </row>
    <row r="294" spans="1:6" x14ac:dyDescent="0.3">
      <c r="A294" s="595" t="s">
        <v>197</v>
      </c>
      <c r="B294" s="1795" t="s">
        <v>199</v>
      </c>
      <c r="C294" s="596">
        <v>2349</v>
      </c>
      <c r="D294" s="596">
        <v>579</v>
      </c>
      <c r="E294" s="596">
        <v>32.711864406779704</v>
      </c>
      <c r="F294" s="596">
        <v>22.261800863121</v>
      </c>
    </row>
    <row r="295" spans="1:6" x14ac:dyDescent="0.3">
      <c r="A295" s="597" t="s">
        <v>197</v>
      </c>
      <c r="B295" s="1795" t="s">
        <v>200</v>
      </c>
      <c r="C295" s="598">
        <v>2757</v>
      </c>
      <c r="D295" s="598">
        <v>339</v>
      </c>
      <c r="E295" s="598">
        <v>14.019851116625301</v>
      </c>
      <c r="F295" s="598">
        <v>26.128473809972199</v>
      </c>
    </row>
    <row r="296" spans="1:6" x14ac:dyDescent="0.3">
      <c r="A296" s="599" t="s">
        <v>197</v>
      </c>
      <c r="B296" s="1795" t="s">
        <v>31</v>
      </c>
      <c r="C296" s="600">
        <v>4958</v>
      </c>
      <c r="D296" s="600">
        <v>357</v>
      </c>
      <c r="E296" s="600">
        <v>7.7591827863507898</v>
      </c>
      <c r="F296" s="600">
        <v>46.987658015902099</v>
      </c>
    </row>
    <row r="297" spans="1:6" x14ac:dyDescent="0.3">
      <c r="A297" s="601" t="s">
        <v>197</v>
      </c>
      <c r="B297" s="1795" t="s">
        <v>201</v>
      </c>
      <c r="C297" s="602">
        <v>2174</v>
      </c>
      <c r="D297" s="602">
        <v>268</v>
      </c>
      <c r="E297" s="602">
        <v>14.060860440713499</v>
      </c>
      <c r="F297" s="602">
        <v>20.6033014373883</v>
      </c>
    </row>
    <row r="298" spans="1:6" x14ac:dyDescent="0.3">
      <c r="A298" s="603" t="s">
        <v>197</v>
      </c>
      <c r="B298" s="1795" t="s">
        <v>202</v>
      </c>
      <c r="C298" s="604">
        <v>2784</v>
      </c>
      <c r="D298" s="604">
        <v>89</v>
      </c>
      <c r="E298" s="604">
        <v>3.30241187384045</v>
      </c>
      <c r="F298" s="604">
        <v>26.384356578513799</v>
      </c>
    </row>
    <row r="299" spans="1:6" x14ac:dyDescent="0.3">
      <c r="A299" s="605" t="s">
        <v>203</v>
      </c>
      <c r="B299" s="19" t="s">
        <v>204</v>
      </c>
      <c r="C299" s="606">
        <v>25296</v>
      </c>
      <c r="D299" s="606">
        <v>1615</v>
      </c>
      <c r="E299" s="606">
        <v>6.81981335247667</v>
      </c>
      <c r="F299" s="606">
        <v>239.73372270477199</v>
      </c>
    </row>
    <row r="300" spans="1:6" x14ac:dyDescent="0.3">
      <c r="A300" s="607" t="s">
        <v>205</v>
      </c>
      <c r="B300" s="1795" t="s">
        <v>206</v>
      </c>
      <c r="C300" s="608">
        <v>9866</v>
      </c>
      <c r="D300" s="608">
        <v>685</v>
      </c>
      <c r="E300" s="608">
        <v>7.4610608866136596</v>
      </c>
      <c r="F300" s="608">
        <v>93.501459053023396</v>
      </c>
    </row>
    <row r="301" spans="1:6" x14ac:dyDescent="0.3">
      <c r="A301" s="609" t="s">
        <v>207</v>
      </c>
      <c r="B301" s="1795" t="s">
        <v>208</v>
      </c>
      <c r="C301" s="610">
        <v>9633</v>
      </c>
      <c r="D301" s="610">
        <v>640</v>
      </c>
      <c r="E301" s="610">
        <v>7.1166462804403396</v>
      </c>
      <c r="F301" s="610">
        <v>91.2932855319049</v>
      </c>
    </row>
    <row r="302" spans="1:6" x14ac:dyDescent="0.3">
      <c r="A302" s="611" t="s">
        <v>207</v>
      </c>
      <c r="B302" s="1795" t="s">
        <v>209</v>
      </c>
      <c r="C302" s="612">
        <v>2876</v>
      </c>
      <c r="D302" s="612">
        <v>356</v>
      </c>
      <c r="E302" s="612">
        <v>14.1269841269841</v>
      </c>
      <c r="F302" s="612">
        <v>27.256253419470401</v>
      </c>
    </row>
    <row r="303" spans="1:6" x14ac:dyDescent="0.3">
      <c r="A303" s="613" t="s">
        <v>207</v>
      </c>
      <c r="B303" s="1795" t="s">
        <v>210</v>
      </c>
      <c r="C303" s="614">
        <v>2496</v>
      </c>
      <c r="D303" s="614">
        <v>328</v>
      </c>
      <c r="E303" s="614">
        <v>15.129151291512899</v>
      </c>
      <c r="F303" s="614">
        <v>23.654940380736502</v>
      </c>
    </row>
    <row r="304" spans="1:6" x14ac:dyDescent="0.3">
      <c r="A304" s="615" t="s">
        <v>211</v>
      </c>
      <c r="B304" s="1795" t="s">
        <v>210</v>
      </c>
      <c r="C304" s="616">
        <v>2352</v>
      </c>
      <c r="D304" s="616">
        <v>315</v>
      </c>
      <c r="E304" s="616">
        <v>15.4639175257732</v>
      </c>
      <c r="F304" s="616">
        <v>22.290232281847899</v>
      </c>
    </row>
    <row r="305" spans="1:6" x14ac:dyDescent="0.3">
      <c r="A305" s="617" t="s">
        <v>211</v>
      </c>
      <c r="B305" s="1795" t="s">
        <v>212</v>
      </c>
      <c r="C305" s="618">
        <v>232</v>
      </c>
      <c r="D305" s="618">
        <v>31</v>
      </c>
      <c r="E305" s="618">
        <v>15.4228855721393</v>
      </c>
      <c r="F305" s="618">
        <v>2.19869638154282</v>
      </c>
    </row>
    <row r="306" spans="1:6" x14ac:dyDescent="0.3">
      <c r="A306" s="619" t="s">
        <v>211</v>
      </c>
      <c r="B306" s="1795" t="s">
        <v>213</v>
      </c>
      <c r="C306" s="620">
        <v>2120</v>
      </c>
      <c r="D306" s="620">
        <v>284</v>
      </c>
      <c r="E306" s="620">
        <v>15.4684095860566</v>
      </c>
      <c r="F306" s="620">
        <v>20.091535900305001</v>
      </c>
    </row>
    <row r="307" spans="1:6" x14ac:dyDescent="0.3">
      <c r="A307" s="621" t="s">
        <v>214</v>
      </c>
      <c r="B307" s="1795" t="s">
        <v>210</v>
      </c>
      <c r="C307" s="622">
        <v>144</v>
      </c>
      <c r="D307" s="622">
        <v>13</v>
      </c>
      <c r="E307" s="622">
        <v>9.9236641221373993</v>
      </c>
      <c r="F307" s="622">
        <v>1.36470809888864</v>
      </c>
    </row>
    <row r="308" spans="1:6" x14ac:dyDescent="0.3">
      <c r="A308" s="623" t="s">
        <v>214</v>
      </c>
      <c r="B308" s="1795" t="s">
        <v>212</v>
      </c>
      <c r="C308" s="624">
        <v>26</v>
      </c>
      <c r="D308" s="624">
        <v>-1</v>
      </c>
      <c r="E308" s="624">
        <v>-3.7037037037037002</v>
      </c>
      <c r="F308" s="624">
        <v>0.24640562896600501</v>
      </c>
    </row>
    <row r="309" spans="1:6" x14ac:dyDescent="0.3">
      <c r="A309" s="625" t="s">
        <v>214</v>
      </c>
      <c r="B309" s="1795" t="s">
        <v>213</v>
      </c>
      <c r="C309" s="626">
        <v>118</v>
      </c>
      <c r="D309" s="626">
        <v>14</v>
      </c>
      <c r="E309" s="626">
        <v>13.461538461538501</v>
      </c>
      <c r="F309" s="626">
        <v>1.11830246992264</v>
      </c>
    </row>
    <row r="310" spans="1:6" x14ac:dyDescent="0.3">
      <c r="A310" s="627" t="s">
        <v>207</v>
      </c>
      <c r="B310" s="1795" t="s">
        <v>215</v>
      </c>
      <c r="C310" s="628">
        <v>380</v>
      </c>
      <c r="D310" s="628">
        <v>28</v>
      </c>
      <c r="E310" s="628">
        <v>7.9545454545454497</v>
      </c>
      <c r="F310" s="628">
        <v>3.6013130387339198</v>
      </c>
    </row>
    <row r="311" spans="1:6" x14ac:dyDescent="0.3">
      <c r="A311" s="629" t="s">
        <v>211</v>
      </c>
      <c r="B311" s="1795" t="s">
        <v>215</v>
      </c>
      <c r="C311" s="630">
        <v>350</v>
      </c>
      <c r="D311" s="630">
        <v>14</v>
      </c>
      <c r="E311" s="630">
        <v>4.1666666666666696</v>
      </c>
      <c r="F311" s="630">
        <v>3.31699885146545</v>
      </c>
    </row>
    <row r="312" spans="1:6" x14ac:dyDescent="0.3">
      <c r="A312" s="631" t="s">
        <v>211</v>
      </c>
      <c r="B312" s="1795" t="s">
        <v>216</v>
      </c>
      <c r="C312" s="632">
        <v>39</v>
      </c>
      <c r="D312" s="632">
        <v>14</v>
      </c>
      <c r="E312" s="632">
        <v>56</v>
      </c>
      <c r="F312" s="632">
        <v>0.36960844344900801</v>
      </c>
    </row>
    <row r="313" spans="1:6" x14ac:dyDescent="0.3">
      <c r="A313" s="633" t="s">
        <v>211</v>
      </c>
      <c r="B313" s="1795" t="s">
        <v>217</v>
      </c>
      <c r="C313" s="634">
        <v>311</v>
      </c>
      <c r="D313" s="634">
        <v>0</v>
      </c>
      <c r="E313" s="634">
        <v>0</v>
      </c>
      <c r="F313" s="634">
        <v>2.9473904080164499</v>
      </c>
    </row>
    <row r="314" spans="1:6" x14ac:dyDescent="0.3">
      <c r="A314" s="635" t="s">
        <v>214</v>
      </c>
      <c r="B314" s="1795" t="s">
        <v>215</v>
      </c>
      <c r="C314" s="636">
        <v>30</v>
      </c>
      <c r="D314" s="636">
        <v>14</v>
      </c>
      <c r="E314" s="636">
        <v>87.5</v>
      </c>
      <c r="F314" s="636">
        <v>0.28431418726846802</v>
      </c>
    </row>
    <row r="315" spans="1:6" x14ac:dyDescent="0.3">
      <c r="A315" s="637" t="s">
        <v>214</v>
      </c>
      <c r="B315" s="1795" t="s">
        <v>216</v>
      </c>
      <c r="C315" s="638">
        <v>7</v>
      </c>
      <c r="D315" s="638">
        <v>1</v>
      </c>
      <c r="E315" s="638">
        <v>16.6666666666667</v>
      </c>
      <c r="F315" s="638">
        <v>6.6339977029309105E-2</v>
      </c>
    </row>
    <row r="316" spans="1:6" x14ac:dyDescent="0.3">
      <c r="A316" s="639" t="s">
        <v>214</v>
      </c>
      <c r="B316" s="1795" t="s">
        <v>217</v>
      </c>
      <c r="C316" s="640">
        <v>23</v>
      </c>
      <c r="D316" s="640">
        <v>13</v>
      </c>
      <c r="E316" s="640">
        <v>130</v>
      </c>
      <c r="F316" s="640">
        <v>0.217974210239158</v>
      </c>
    </row>
    <row r="317" spans="1:6" x14ac:dyDescent="0.3">
      <c r="A317" s="641" t="s">
        <v>207</v>
      </c>
      <c r="B317" s="1795" t="s">
        <v>218</v>
      </c>
      <c r="C317" s="642">
        <v>1270</v>
      </c>
      <c r="D317" s="642">
        <v>96</v>
      </c>
      <c r="E317" s="642">
        <v>8.1771720613287897</v>
      </c>
      <c r="F317" s="642">
        <v>12.0359672610318</v>
      </c>
    </row>
    <row r="318" spans="1:6" x14ac:dyDescent="0.3">
      <c r="A318" s="643" t="s">
        <v>207</v>
      </c>
      <c r="B318" s="1795" t="s">
        <v>219</v>
      </c>
      <c r="C318" s="644">
        <v>1193</v>
      </c>
      <c r="D318" s="644">
        <v>76</v>
      </c>
      <c r="E318" s="644">
        <v>6.8039391226499504</v>
      </c>
      <c r="F318" s="644">
        <v>11.3062275137094</v>
      </c>
    </row>
    <row r="319" spans="1:6" x14ac:dyDescent="0.3">
      <c r="A319" s="645" t="s">
        <v>211</v>
      </c>
      <c r="B319" s="1795" t="s">
        <v>219</v>
      </c>
      <c r="C319" s="646">
        <v>1146</v>
      </c>
      <c r="D319" s="646">
        <v>81</v>
      </c>
      <c r="E319" s="646">
        <v>7.6056338028169002</v>
      </c>
      <c r="F319" s="646">
        <v>10.8608019536555</v>
      </c>
    </row>
    <row r="320" spans="1:6" x14ac:dyDescent="0.3">
      <c r="A320" s="647" t="s">
        <v>211</v>
      </c>
      <c r="B320" s="1795" t="s">
        <v>220</v>
      </c>
      <c r="C320" s="648">
        <v>136</v>
      </c>
      <c r="D320" s="648">
        <v>-2</v>
      </c>
      <c r="E320" s="648">
        <v>-1.4492753623188399</v>
      </c>
      <c r="F320" s="648">
        <v>1.28889098228372</v>
      </c>
    </row>
    <row r="321" spans="1:6" x14ac:dyDescent="0.3">
      <c r="A321" s="649" t="s">
        <v>211</v>
      </c>
      <c r="B321" s="1795" t="s">
        <v>221</v>
      </c>
      <c r="C321" s="650">
        <v>1010</v>
      </c>
      <c r="D321" s="650">
        <v>83</v>
      </c>
      <c r="E321" s="650">
        <v>8.9536138079827392</v>
      </c>
      <c r="F321" s="650">
        <v>9.5719109713717394</v>
      </c>
    </row>
    <row r="322" spans="1:6" x14ac:dyDescent="0.3">
      <c r="A322" s="651" t="s">
        <v>222</v>
      </c>
      <c r="B322" s="1795" t="s">
        <v>219</v>
      </c>
      <c r="C322" s="652">
        <v>47</v>
      </c>
      <c r="D322" s="652">
        <v>-5</v>
      </c>
      <c r="E322" s="652">
        <v>-9.6153846153846203</v>
      </c>
      <c r="F322" s="652">
        <v>0.44542556005393302</v>
      </c>
    </row>
    <row r="323" spans="1:6" x14ac:dyDescent="0.3">
      <c r="A323" s="653" t="s">
        <v>222</v>
      </c>
      <c r="B323" s="1795" t="s">
        <v>220</v>
      </c>
      <c r="C323" s="654">
        <v>16</v>
      </c>
      <c r="D323" s="654">
        <v>4</v>
      </c>
      <c r="E323" s="654">
        <v>33.3333333333333</v>
      </c>
      <c r="F323" s="654">
        <v>0.15163423320984901</v>
      </c>
    </row>
    <row r="324" spans="1:6" x14ac:dyDescent="0.3">
      <c r="A324" s="655" t="s">
        <v>222</v>
      </c>
      <c r="B324" s="1795" t="s">
        <v>221</v>
      </c>
      <c r="C324" s="656">
        <v>31</v>
      </c>
      <c r="D324" s="656">
        <v>-9</v>
      </c>
      <c r="E324" s="656">
        <v>-22.5</v>
      </c>
      <c r="F324" s="656">
        <v>0.29379132684408299</v>
      </c>
    </row>
    <row r="325" spans="1:6" x14ac:dyDescent="0.3">
      <c r="A325" s="657" t="s">
        <v>207</v>
      </c>
      <c r="B325" s="1795" t="s">
        <v>223</v>
      </c>
      <c r="C325" s="658">
        <v>77</v>
      </c>
      <c r="D325" s="658">
        <v>20</v>
      </c>
      <c r="E325" s="658">
        <v>35.087719298245602</v>
      </c>
      <c r="F325" s="658">
        <v>0.72973974732239999</v>
      </c>
    </row>
    <row r="326" spans="1:6" x14ac:dyDescent="0.3">
      <c r="A326" s="659" t="s">
        <v>211</v>
      </c>
      <c r="B326" s="1795" t="s">
        <v>223</v>
      </c>
      <c r="C326" s="660">
        <v>71</v>
      </c>
      <c r="D326" s="660">
        <v>20</v>
      </c>
      <c r="E326" s="660">
        <v>39.2156862745098</v>
      </c>
      <c r="F326" s="660">
        <v>0.67287690986870696</v>
      </c>
    </row>
    <row r="327" spans="1:6" x14ac:dyDescent="0.3">
      <c r="A327" s="661" t="s">
        <v>211</v>
      </c>
      <c r="B327" s="1795" t="s">
        <v>224</v>
      </c>
      <c r="C327" s="662">
        <v>13</v>
      </c>
      <c r="D327" s="662">
        <v>2</v>
      </c>
      <c r="E327" s="662">
        <v>18.181818181818201</v>
      </c>
      <c r="F327" s="662">
        <v>0.12320281448300301</v>
      </c>
    </row>
    <row r="328" spans="1:6" x14ac:dyDescent="0.3">
      <c r="A328" s="663" t="s">
        <v>211</v>
      </c>
      <c r="B328" s="1795" t="s">
        <v>225</v>
      </c>
      <c r="C328" s="664">
        <v>58</v>
      </c>
      <c r="D328" s="664">
        <v>18</v>
      </c>
      <c r="E328" s="664">
        <v>45</v>
      </c>
      <c r="F328" s="664">
        <v>0.549674095385704</v>
      </c>
    </row>
    <row r="329" spans="1:6" x14ac:dyDescent="0.3">
      <c r="A329" s="665" t="s">
        <v>222</v>
      </c>
      <c r="B329" s="1795" t="s">
        <v>223</v>
      </c>
      <c r="C329" s="666">
        <v>6</v>
      </c>
      <c r="D329" s="666">
        <v>0</v>
      </c>
      <c r="E329" s="666">
        <v>0</v>
      </c>
      <c r="F329" s="666">
        <v>5.6862837453693499E-2</v>
      </c>
    </row>
    <row r="330" spans="1:6" x14ac:dyDescent="0.3">
      <c r="A330" s="667" t="s">
        <v>222</v>
      </c>
      <c r="B330" s="1795" t="s">
        <v>224</v>
      </c>
      <c r="C330" s="668">
        <v>2</v>
      </c>
      <c r="D330" s="668">
        <v>2</v>
      </c>
      <c r="E330" s="668" t="s">
        <v>38</v>
      </c>
      <c r="F330" s="668">
        <v>1.8954279151231199E-2</v>
      </c>
    </row>
    <row r="331" spans="1:6" x14ac:dyDescent="0.3">
      <c r="A331" s="669" t="s">
        <v>222</v>
      </c>
      <c r="B331" s="1795" t="s">
        <v>225</v>
      </c>
      <c r="C331" s="670">
        <v>4</v>
      </c>
      <c r="D331" s="670">
        <v>-2</v>
      </c>
      <c r="E331" s="670">
        <v>-33.3333333333333</v>
      </c>
      <c r="F331" s="670">
        <v>3.79085583024623E-2</v>
      </c>
    </row>
    <row r="332" spans="1:6" x14ac:dyDescent="0.3">
      <c r="A332" s="671" t="s">
        <v>226</v>
      </c>
      <c r="B332" s="1795" t="s">
        <v>227</v>
      </c>
      <c r="C332" s="672">
        <v>5167</v>
      </c>
      <c r="D332" s="672">
        <v>148</v>
      </c>
      <c r="E332" s="672">
        <v>2.9487945805937401</v>
      </c>
      <c r="F332" s="672">
        <v>48.968380187205703</v>
      </c>
    </row>
    <row r="333" spans="1:6" x14ac:dyDescent="0.3">
      <c r="A333" s="673" t="s">
        <v>226</v>
      </c>
      <c r="B333" s="1795" t="s">
        <v>27</v>
      </c>
      <c r="C333" s="674">
        <v>1872</v>
      </c>
      <c r="D333" s="674">
        <v>198</v>
      </c>
      <c r="E333" s="674">
        <v>11.8279569892473</v>
      </c>
      <c r="F333" s="674">
        <v>17.7412052855524</v>
      </c>
    </row>
    <row r="334" spans="1:6" x14ac:dyDescent="0.3">
      <c r="A334" s="675" t="s">
        <v>228</v>
      </c>
      <c r="B334" s="1795" t="s">
        <v>27</v>
      </c>
      <c r="C334" s="676">
        <v>1798</v>
      </c>
      <c r="D334" s="676">
        <v>196</v>
      </c>
      <c r="E334" s="676">
        <v>12.234706616729101</v>
      </c>
      <c r="F334" s="676">
        <v>17.039896956956799</v>
      </c>
    </row>
    <row r="335" spans="1:6" x14ac:dyDescent="0.3">
      <c r="A335" s="677" t="s">
        <v>229</v>
      </c>
      <c r="B335" s="1795" t="s">
        <v>27</v>
      </c>
      <c r="C335" s="678">
        <v>74</v>
      </c>
      <c r="D335" s="678">
        <v>2</v>
      </c>
      <c r="E335" s="678">
        <v>2.7777777777777799</v>
      </c>
      <c r="F335" s="678">
        <v>0.70130832859555303</v>
      </c>
    </row>
    <row r="336" spans="1:6" x14ac:dyDescent="0.3">
      <c r="A336" s="679" t="s">
        <v>226</v>
      </c>
      <c r="B336" s="1795" t="s">
        <v>28</v>
      </c>
      <c r="C336" s="680">
        <v>101</v>
      </c>
      <c r="D336" s="680">
        <v>16</v>
      </c>
      <c r="E336" s="680">
        <v>18.823529411764699</v>
      </c>
      <c r="F336" s="680">
        <v>0.95719109713717399</v>
      </c>
    </row>
    <row r="337" spans="1:6" x14ac:dyDescent="0.3">
      <c r="A337" s="681" t="s">
        <v>228</v>
      </c>
      <c r="B337" s="1795" t="s">
        <v>28</v>
      </c>
      <c r="C337" s="682">
        <v>92</v>
      </c>
      <c r="D337" s="682">
        <v>13</v>
      </c>
      <c r="E337" s="682">
        <v>16.455696202531598</v>
      </c>
      <c r="F337" s="682">
        <v>0.871896840956634</v>
      </c>
    </row>
    <row r="338" spans="1:6" x14ac:dyDescent="0.3">
      <c r="A338" s="683" t="s">
        <v>229</v>
      </c>
      <c r="B338" s="1795" t="s">
        <v>28</v>
      </c>
      <c r="C338" s="684">
        <v>9</v>
      </c>
      <c r="D338" s="684">
        <v>3</v>
      </c>
      <c r="E338" s="684">
        <v>50</v>
      </c>
      <c r="F338" s="684">
        <v>8.5294256180540304E-2</v>
      </c>
    </row>
    <row r="339" spans="1:6" x14ac:dyDescent="0.3">
      <c r="A339" s="685" t="s">
        <v>226</v>
      </c>
      <c r="B339" s="1795" t="s">
        <v>29</v>
      </c>
      <c r="C339" s="686">
        <v>1909</v>
      </c>
      <c r="D339" s="686">
        <v>-83</v>
      </c>
      <c r="E339" s="686">
        <v>-4.1666666666666696</v>
      </c>
      <c r="F339" s="686">
        <v>18.091859449850201</v>
      </c>
    </row>
    <row r="340" spans="1:6" x14ac:dyDescent="0.3">
      <c r="A340" s="687" t="s">
        <v>228</v>
      </c>
      <c r="B340" s="1795" t="s">
        <v>29</v>
      </c>
      <c r="C340" s="688">
        <v>1786</v>
      </c>
      <c r="D340" s="688">
        <v>-92</v>
      </c>
      <c r="E340" s="688">
        <v>-4.8988285410010697</v>
      </c>
      <c r="F340" s="688">
        <v>16.926171282049399</v>
      </c>
    </row>
    <row r="341" spans="1:6" x14ac:dyDescent="0.3">
      <c r="A341" s="689" t="s">
        <v>228</v>
      </c>
      <c r="B341" s="1795" t="s">
        <v>230</v>
      </c>
      <c r="C341" s="690">
        <v>83</v>
      </c>
      <c r="D341" s="690">
        <v>-24</v>
      </c>
      <c r="E341" s="690">
        <v>-22.429906542056099</v>
      </c>
      <c r="F341" s="690">
        <v>0.78660258477609402</v>
      </c>
    </row>
    <row r="342" spans="1:6" x14ac:dyDescent="0.3">
      <c r="A342" s="691" t="s">
        <v>228</v>
      </c>
      <c r="B342" s="1795" t="s">
        <v>231</v>
      </c>
      <c r="C342" s="692">
        <v>1703</v>
      </c>
      <c r="D342" s="692">
        <v>-68</v>
      </c>
      <c r="E342" s="692">
        <v>-3.8396386222473202</v>
      </c>
      <c r="F342" s="692">
        <v>16.139568697273301</v>
      </c>
    </row>
    <row r="343" spans="1:6" x14ac:dyDescent="0.3">
      <c r="A343" s="693" t="s">
        <v>229</v>
      </c>
      <c r="B343" s="1795" t="s">
        <v>29</v>
      </c>
      <c r="C343" s="694">
        <v>123</v>
      </c>
      <c r="D343" s="694">
        <v>9</v>
      </c>
      <c r="E343" s="694">
        <v>7.8947368421052602</v>
      </c>
      <c r="F343" s="694">
        <v>1.16568816780072</v>
      </c>
    </row>
    <row r="344" spans="1:6" x14ac:dyDescent="0.3">
      <c r="A344" s="695" t="s">
        <v>229</v>
      </c>
      <c r="B344" s="1795" t="s">
        <v>230</v>
      </c>
      <c r="C344" s="696">
        <v>12</v>
      </c>
      <c r="D344" s="696">
        <v>-2</v>
      </c>
      <c r="E344" s="696">
        <v>-14.285714285714301</v>
      </c>
      <c r="F344" s="696">
        <v>0.113725674907387</v>
      </c>
    </row>
    <row r="345" spans="1:6" x14ac:dyDescent="0.3">
      <c r="A345" s="697" t="s">
        <v>229</v>
      </c>
      <c r="B345" s="1795" t="s">
        <v>231</v>
      </c>
      <c r="C345" s="698">
        <v>111</v>
      </c>
      <c r="D345" s="698">
        <v>11</v>
      </c>
      <c r="E345" s="698">
        <v>11</v>
      </c>
      <c r="F345" s="698">
        <v>1.05196249289333</v>
      </c>
    </row>
    <row r="346" spans="1:6" x14ac:dyDescent="0.3">
      <c r="A346" s="699" t="s">
        <v>226</v>
      </c>
      <c r="B346" s="1795" t="s">
        <v>232</v>
      </c>
      <c r="C346" s="700">
        <v>1285</v>
      </c>
      <c r="D346" s="700">
        <v>17</v>
      </c>
      <c r="E346" s="700">
        <v>1.3406940063091499</v>
      </c>
      <c r="F346" s="700">
        <v>12.178124354666</v>
      </c>
    </row>
    <row r="347" spans="1:6" x14ac:dyDescent="0.3">
      <c r="A347" s="701" t="s">
        <v>228</v>
      </c>
      <c r="B347" s="1795" t="s">
        <v>30</v>
      </c>
      <c r="C347" s="702">
        <v>1153</v>
      </c>
      <c r="D347" s="702">
        <v>29</v>
      </c>
      <c r="E347" s="702">
        <v>2.58007117437722</v>
      </c>
      <c r="F347" s="702">
        <v>10.927141930684799</v>
      </c>
    </row>
    <row r="348" spans="1:6" x14ac:dyDescent="0.3">
      <c r="A348" s="703" t="s">
        <v>228</v>
      </c>
      <c r="B348" s="1795" t="s">
        <v>233</v>
      </c>
      <c r="C348" s="704">
        <v>247</v>
      </c>
      <c r="D348" s="704">
        <v>15</v>
      </c>
      <c r="E348" s="704">
        <v>6.4655172413793096</v>
      </c>
      <c r="F348" s="704">
        <v>2.3408534751770498</v>
      </c>
    </row>
    <row r="349" spans="1:6" x14ac:dyDescent="0.3">
      <c r="A349" s="705" t="s">
        <v>228</v>
      </c>
      <c r="B349" s="1795" t="s">
        <v>234</v>
      </c>
      <c r="C349" s="706">
        <v>906</v>
      </c>
      <c r="D349" s="706">
        <v>14</v>
      </c>
      <c r="E349" s="706">
        <v>1.5695067264574001</v>
      </c>
      <c r="F349" s="706">
        <v>8.5862884555077201</v>
      </c>
    </row>
    <row r="350" spans="1:6" x14ac:dyDescent="0.3">
      <c r="A350" s="707" t="s">
        <v>229</v>
      </c>
      <c r="B350" s="1795" t="s">
        <v>232</v>
      </c>
      <c r="C350" s="708">
        <v>132</v>
      </c>
      <c r="D350" s="708">
        <v>-12</v>
      </c>
      <c r="E350" s="708">
        <v>-8.3333333333333304</v>
      </c>
      <c r="F350" s="708">
        <v>1.2509824239812599</v>
      </c>
    </row>
    <row r="351" spans="1:6" x14ac:dyDescent="0.3">
      <c r="A351" s="709" t="s">
        <v>229</v>
      </c>
      <c r="B351" s="1795" t="s">
        <v>233</v>
      </c>
      <c r="C351" s="710">
        <v>64</v>
      </c>
      <c r="D351" s="710">
        <v>-3</v>
      </c>
      <c r="E351" s="710">
        <v>-4.4776119402985097</v>
      </c>
      <c r="F351" s="710">
        <v>0.60653693283939702</v>
      </c>
    </row>
    <row r="352" spans="1:6" x14ac:dyDescent="0.3">
      <c r="A352" s="711" t="s">
        <v>229</v>
      </c>
      <c r="B352" s="1795" t="s">
        <v>234</v>
      </c>
      <c r="C352" s="712">
        <v>68</v>
      </c>
      <c r="D352" s="712">
        <v>-9</v>
      </c>
      <c r="E352" s="712">
        <v>-11.6883116883117</v>
      </c>
      <c r="F352" s="712">
        <v>0.64444549114186001</v>
      </c>
    </row>
    <row r="353" spans="1:6" x14ac:dyDescent="0.3">
      <c r="A353" s="713" t="s">
        <v>226</v>
      </c>
      <c r="B353" s="1795" t="s">
        <v>235</v>
      </c>
      <c r="C353" s="714">
        <v>320</v>
      </c>
      <c r="D353" s="714">
        <v>40</v>
      </c>
      <c r="E353" s="714">
        <v>14.285714285714301</v>
      </c>
      <c r="F353" s="714">
        <v>3.03268466419699</v>
      </c>
    </row>
    <row r="354" spans="1:6" x14ac:dyDescent="0.3">
      <c r="A354" s="715" t="s">
        <v>226</v>
      </c>
      <c r="B354" s="1795" t="s">
        <v>32</v>
      </c>
      <c r="C354" s="716">
        <v>61</v>
      </c>
      <c r="D354" s="716">
        <v>23</v>
      </c>
      <c r="E354" s="716">
        <v>60.526315789473699</v>
      </c>
      <c r="F354" s="716">
        <v>0.57810551411255096</v>
      </c>
    </row>
    <row r="355" spans="1:6" x14ac:dyDescent="0.3">
      <c r="A355" s="717" t="s">
        <v>228</v>
      </c>
      <c r="B355" s="1795" t="s">
        <v>32</v>
      </c>
      <c r="C355" s="718">
        <v>56</v>
      </c>
      <c r="D355" s="718">
        <v>21</v>
      </c>
      <c r="E355" s="718">
        <v>60</v>
      </c>
      <c r="F355" s="718">
        <v>0.53071981623447295</v>
      </c>
    </row>
    <row r="356" spans="1:6" x14ac:dyDescent="0.3">
      <c r="A356" s="719" t="s">
        <v>229</v>
      </c>
      <c r="B356" s="1795" t="s">
        <v>32</v>
      </c>
      <c r="C356" s="720">
        <v>5</v>
      </c>
      <c r="D356" s="720">
        <v>2</v>
      </c>
      <c r="E356" s="720">
        <v>66.6666666666667</v>
      </c>
      <c r="F356" s="720">
        <v>4.73856978780779E-2</v>
      </c>
    </row>
    <row r="357" spans="1:6" x14ac:dyDescent="0.3">
      <c r="A357" s="721" t="s">
        <v>226</v>
      </c>
      <c r="B357" s="1795" t="s">
        <v>33</v>
      </c>
      <c r="C357" s="722">
        <v>14</v>
      </c>
      <c r="D357" s="722">
        <v>1</v>
      </c>
      <c r="E357" s="722">
        <v>7.6923076923076898</v>
      </c>
      <c r="F357" s="722">
        <v>0.13267995405861799</v>
      </c>
    </row>
    <row r="358" spans="1:6" x14ac:dyDescent="0.3">
      <c r="A358" s="723" t="s">
        <v>228</v>
      </c>
      <c r="B358" s="1795" t="s">
        <v>33</v>
      </c>
      <c r="C358" s="724">
        <v>12</v>
      </c>
      <c r="D358" s="724">
        <v>0</v>
      </c>
      <c r="E358" s="724">
        <v>0</v>
      </c>
      <c r="F358" s="724">
        <v>0.113725674907387</v>
      </c>
    </row>
    <row r="359" spans="1:6" x14ac:dyDescent="0.3">
      <c r="A359" s="725" t="s">
        <v>229</v>
      </c>
      <c r="B359" s="1795" t="s">
        <v>33</v>
      </c>
      <c r="C359" s="726">
        <v>2</v>
      </c>
      <c r="D359" s="726">
        <v>1</v>
      </c>
      <c r="E359" s="726">
        <v>100</v>
      </c>
      <c r="F359" s="726">
        <v>1.8954279151231199E-2</v>
      </c>
    </row>
    <row r="360" spans="1:6" x14ac:dyDescent="0.3">
      <c r="A360" s="727" t="s">
        <v>226</v>
      </c>
      <c r="B360" s="1795" t="s">
        <v>34</v>
      </c>
      <c r="C360" s="728">
        <v>129</v>
      </c>
      <c r="D360" s="728">
        <v>15</v>
      </c>
      <c r="E360" s="728">
        <v>13.157894736842101</v>
      </c>
      <c r="F360" s="728">
        <v>1.22255100525441</v>
      </c>
    </row>
    <row r="361" spans="1:6" x14ac:dyDescent="0.3">
      <c r="A361" s="729" t="s">
        <v>228</v>
      </c>
      <c r="B361" s="1795" t="s">
        <v>34</v>
      </c>
      <c r="C361" s="730">
        <v>120</v>
      </c>
      <c r="D361" s="730">
        <v>14</v>
      </c>
      <c r="E361" s="730">
        <v>13.207547169811299</v>
      </c>
      <c r="F361" s="730">
        <v>1.1372567490738701</v>
      </c>
    </row>
    <row r="362" spans="1:6" x14ac:dyDescent="0.3">
      <c r="A362" s="731" t="s">
        <v>228</v>
      </c>
      <c r="B362" s="1795" t="s">
        <v>236</v>
      </c>
      <c r="C362" s="732">
        <v>11</v>
      </c>
      <c r="D362" s="732">
        <v>9</v>
      </c>
      <c r="E362" s="732">
        <v>450</v>
      </c>
      <c r="F362" s="732">
        <v>0.104248535331771</v>
      </c>
    </row>
    <row r="363" spans="1:6" x14ac:dyDescent="0.3">
      <c r="A363" s="733" t="s">
        <v>228</v>
      </c>
      <c r="B363" s="1795" t="s">
        <v>237</v>
      </c>
      <c r="C363" s="734">
        <v>109</v>
      </c>
      <c r="D363" s="734">
        <v>5</v>
      </c>
      <c r="E363" s="734">
        <v>4.8076923076923102</v>
      </c>
      <c r="F363" s="734">
        <v>1.0330082137420999</v>
      </c>
    </row>
    <row r="364" spans="1:6" x14ac:dyDescent="0.3">
      <c r="A364" s="735" t="s">
        <v>229</v>
      </c>
      <c r="B364" s="1795" t="s">
        <v>34</v>
      </c>
      <c r="C364" s="736">
        <v>9</v>
      </c>
      <c r="D364" s="736">
        <v>1</v>
      </c>
      <c r="E364" s="736">
        <v>12.5</v>
      </c>
      <c r="F364" s="736">
        <v>8.5294256180540304E-2</v>
      </c>
    </row>
    <row r="365" spans="1:6" x14ac:dyDescent="0.3">
      <c r="A365" s="737" t="s">
        <v>229</v>
      </c>
      <c r="B365" s="1795" t="s">
        <v>236</v>
      </c>
      <c r="C365" s="738">
        <v>0</v>
      </c>
      <c r="D365" s="738">
        <v>0</v>
      </c>
      <c r="E365" s="738" t="s">
        <v>38</v>
      </c>
      <c r="F365" s="738">
        <v>0</v>
      </c>
    </row>
    <row r="366" spans="1:6" x14ac:dyDescent="0.3">
      <c r="A366" s="739" t="s">
        <v>229</v>
      </c>
      <c r="B366" s="1795" t="s">
        <v>237</v>
      </c>
      <c r="C366" s="740">
        <v>9</v>
      </c>
      <c r="D366" s="740">
        <v>1</v>
      </c>
      <c r="E366" s="740">
        <v>12.5</v>
      </c>
      <c r="F366" s="740">
        <v>8.5294256180540304E-2</v>
      </c>
    </row>
    <row r="367" spans="1:6" x14ac:dyDescent="0.3">
      <c r="A367" s="741" t="s">
        <v>226</v>
      </c>
      <c r="B367" s="1795" t="s">
        <v>238</v>
      </c>
      <c r="C367" s="742">
        <v>116</v>
      </c>
      <c r="D367" s="742">
        <v>1</v>
      </c>
      <c r="E367" s="742">
        <v>0.86956521739130399</v>
      </c>
      <c r="F367" s="742">
        <v>1.09934819077141</v>
      </c>
    </row>
    <row r="368" spans="1:6" x14ac:dyDescent="0.3">
      <c r="A368" s="743" t="s">
        <v>228</v>
      </c>
      <c r="B368" s="1795" t="s">
        <v>35</v>
      </c>
      <c r="C368" s="744">
        <v>104</v>
      </c>
      <c r="D368" s="744">
        <v>-2</v>
      </c>
      <c r="E368" s="744">
        <v>-1.88679245283019</v>
      </c>
      <c r="F368" s="744">
        <v>0.98562251586402105</v>
      </c>
    </row>
    <row r="369" spans="1:6" x14ac:dyDescent="0.3">
      <c r="A369" s="745" t="s">
        <v>228</v>
      </c>
      <c r="B369" s="1795" t="s">
        <v>239</v>
      </c>
      <c r="C369" s="746">
        <v>24</v>
      </c>
      <c r="D369" s="746">
        <v>3</v>
      </c>
      <c r="E369" s="746">
        <v>14.285714285714301</v>
      </c>
      <c r="F369" s="746">
        <v>0.227451349814774</v>
      </c>
    </row>
    <row r="370" spans="1:6" x14ac:dyDescent="0.3">
      <c r="A370" s="747" t="s">
        <v>228</v>
      </c>
      <c r="B370" s="1795" t="s">
        <v>240</v>
      </c>
      <c r="C370" s="748">
        <v>80</v>
      </c>
      <c r="D370" s="748">
        <v>-5</v>
      </c>
      <c r="E370" s="748">
        <v>-5.8823529411764701</v>
      </c>
      <c r="F370" s="748">
        <v>0.75817116604924695</v>
      </c>
    </row>
    <row r="371" spans="1:6" x14ac:dyDescent="0.3">
      <c r="A371" s="749" t="s">
        <v>229</v>
      </c>
      <c r="B371" s="1795" t="s">
        <v>35</v>
      </c>
      <c r="C371" s="750">
        <v>12</v>
      </c>
      <c r="D371" s="750">
        <v>3</v>
      </c>
      <c r="E371" s="750">
        <v>33.3333333333333</v>
      </c>
      <c r="F371" s="750">
        <v>0.113725674907387</v>
      </c>
    </row>
    <row r="372" spans="1:6" x14ac:dyDescent="0.3">
      <c r="A372" s="751" t="s">
        <v>229</v>
      </c>
      <c r="B372" s="1795" t="s">
        <v>239</v>
      </c>
      <c r="C372" s="752">
        <v>2</v>
      </c>
      <c r="D372" s="752">
        <v>-2</v>
      </c>
      <c r="E372" s="752">
        <v>-50</v>
      </c>
      <c r="F372" s="752">
        <v>1.8954279151231199E-2</v>
      </c>
    </row>
    <row r="373" spans="1:6" x14ac:dyDescent="0.3">
      <c r="A373" s="753" t="s">
        <v>229</v>
      </c>
      <c r="B373" s="1795" t="s">
        <v>240</v>
      </c>
      <c r="C373" s="754">
        <v>10</v>
      </c>
      <c r="D373" s="754">
        <v>5</v>
      </c>
      <c r="E373" s="754">
        <v>100</v>
      </c>
      <c r="F373" s="754">
        <v>9.4771395756155896E-2</v>
      </c>
    </row>
    <row r="374" spans="1:6" x14ac:dyDescent="0.3">
      <c r="A374" s="755" t="s">
        <v>241</v>
      </c>
      <c r="B374" s="1795" t="s">
        <v>242</v>
      </c>
      <c r="C374" s="756">
        <v>233</v>
      </c>
      <c r="D374" s="756">
        <v>45</v>
      </c>
      <c r="E374" s="756">
        <v>23.936170212766001</v>
      </c>
      <c r="F374" s="756">
        <v>2.2081735211184301</v>
      </c>
    </row>
    <row r="375" spans="1:6" x14ac:dyDescent="0.3">
      <c r="A375" s="757" t="s">
        <v>241</v>
      </c>
      <c r="B375" s="1795" t="s">
        <v>72</v>
      </c>
      <c r="C375" s="758">
        <v>44</v>
      </c>
      <c r="D375" s="758">
        <v>5</v>
      </c>
      <c r="E375" s="758">
        <v>12.8205128205128</v>
      </c>
      <c r="F375" s="758">
        <v>0.41699414132708601</v>
      </c>
    </row>
    <row r="376" spans="1:6" x14ac:dyDescent="0.3">
      <c r="A376" s="759" t="s">
        <v>241</v>
      </c>
      <c r="B376" s="1795" t="s">
        <v>243</v>
      </c>
      <c r="C376" s="760">
        <v>6</v>
      </c>
      <c r="D376" s="760">
        <v>-1</v>
      </c>
      <c r="E376" s="760">
        <v>-14.285714285714301</v>
      </c>
      <c r="F376" s="760">
        <v>5.6862837453693499E-2</v>
      </c>
    </row>
    <row r="377" spans="1:6" x14ac:dyDescent="0.3">
      <c r="A377" s="761" t="s">
        <v>241</v>
      </c>
      <c r="B377" s="1795" t="s">
        <v>244</v>
      </c>
      <c r="C377" s="762">
        <v>38</v>
      </c>
      <c r="D377" s="762">
        <v>6</v>
      </c>
      <c r="E377" s="762">
        <v>18.75</v>
      </c>
      <c r="F377" s="762">
        <v>0.36013130387339198</v>
      </c>
    </row>
    <row r="378" spans="1:6" x14ac:dyDescent="0.3">
      <c r="A378" s="763" t="s">
        <v>241</v>
      </c>
      <c r="B378" s="1795" t="s">
        <v>79</v>
      </c>
      <c r="C378" s="764">
        <v>1</v>
      </c>
      <c r="D378" s="764">
        <v>-1</v>
      </c>
      <c r="E378" s="764">
        <v>-50</v>
      </c>
      <c r="F378" s="764">
        <v>9.4771395756155907E-3</v>
      </c>
    </row>
    <row r="379" spans="1:6" x14ac:dyDescent="0.3">
      <c r="A379" s="765" t="s">
        <v>241</v>
      </c>
      <c r="B379" s="1795" t="s">
        <v>245</v>
      </c>
      <c r="C379" s="766">
        <v>0</v>
      </c>
      <c r="D379" s="766">
        <v>0</v>
      </c>
      <c r="E379" s="766" t="s">
        <v>38</v>
      </c>
      <c r="F379" s="766">
        <v>0</v>
      </c>
    </row>
    <row r="380" spans="1:6" x14ac:dyDescent="0.3">
      <c r="A380" s="767" t="s">
        <v>241</v>
      </c>
      <c r="B380" s="1795" t="s">
        <v>246</v>
      </c>
      <c r="C380" s="768">
        <v>1</v>
      </c>
      <c r="D380" s="768">
        <v>-1</v>
      </c>
      <c r="E380" s="768">
        <v>-50</v>
      </c>
      <c r="F380" s="768">
        <v>9.4771395756155907E-3</v>
      </c>
    </row>
    <row r="381" spans="1:6" x14ac:dyDescent="0.3">
      <c r="A381" s="769" t="s">
        <v>241</v>
      </c>
      <c r="B381" s="1795" t="s">
        <v>26</v>
      </c>
      <c r="C381" s="770">
        <v>178</v>
      </c>
      <c r="D381" s="770">
        <v>39</v>
      </c>
      <c r="E381" s="770">
        <v>28.0575539568345</v>
      </c>
      <c r="F381" s="770">
        <v>1.6869308444595701</v>
      </c>
    </row>
    <row r="382" spans="1:6" x14ac:dyDescent="0.3">
      <c r="A382" s="771" t="s">
        <v>241</v>
      </c>
      <c r="B382" s="1795" t="s">
        <v>27</v>
      </c>
      <c r="C382" s="772">
        <v>59</v>
      </c>
      <c r="D382" s="772">
        <v>-3</v>
      </c>
      <c r="E382" s="772">
        <v>-4.8387096774193497</v>
      </c>
      <c r="F382" s="772">
        <v>0.55915123496132002</v>
      </c>
    </row>
    <row r="383" spans="1:6" x14ac:dyDescent="0.3">
      <c r="A383" s="773" t="s">
        <v>241</v>
      </c>
      <c r="B383" s="1795" t="s">
        <v>28</v>
      </c>
      <c r="C383" s="774">
        <v>1</v>
      </c>
      <c r="D383" s="774">
        <v>0</v>
      </c>
      <c r="E383" s="774">
        <v>0</v>
      </c>
      <c r="F383" s="774">
        <v>9.4771395756155907E-3</v>
      </c>
    </row>
    <row r="384" spans="1:6" x14ac:dyDescent="0.3">
      <c r="A384" s="775" t="s">
        <v>241</v>
      </c>
      <c r="B384" s="1795" t="s">
        <v>29</v>
      </c>
      <c r="C384" s="776">
        <v>65</v>
      </c>
      <c r="D384" s="776">
        <v>11</v>
      </c>
      <c r="E384" s="776">
        <v>20.370370370370399</v>
      </c>
      <c r="F384" s="776">
        <v>0.61601407241501305</v>
      </c>
    </row>
    <row r="385" spans="1:6" x14ac:dyDescent="0.3">
      <c r="A385" s="777" t="s">
        <v>241</v>
      </c>
      <c r="B385" s="1795" t="s">
        <v>230</v>
      </c>
      <c r="C385" s="778">
        <v>2</v>
      </c>
      <c r="D385" s="778">
        <v>2</v>
      </c>
      <c r="E385" s="778" t="s">
        <v>38</v>
      </c>
      <c r="F385" s="778">
        <v>1.8954279151231199E-2</v>
      </c>
    </row>
    <row r="386" spans="1:6" x14ac:dyDescent="0.3">
      <c r="A386" s="779" t="s">
        <v>241</v>
      </c>
      <c r="B386" s="1795" t="s">
        <v>231</v>
      </c>
      <c r="C386" s="780">
        <v>63</v>
      </c>
      <c r="D386" s="780">
        <v>9</v>
      </c>
      <c r="E386" s="780">
        <v>16.6666666666667</v>
      </c>
      <c r="F386" s="780">
        <v>0.597059793263782</v>
      </c>
    </row>
    <row r="387" spans="1:6" x14ac:dyDescent="0.3">
      <c r="A387" s="781" t="s">
        <v>241</v>
      </c>
      <c r="B387" s="1795" t="s">
        <v>30</v>
      </c>
      <c r="C387" s="782">
        <v>53</v>
      </c>
      <c r="D387" s="782">
        <v>31</v>
      </c>
      <c r="E387" s="782">
        <v>140.90909090909099</v>
      </c>
      <c r="F387" s="782">
        <v>0.50228839750762599</v>
      </c>
    </row>
    <row r="388" spans="1:6" x14ac:dyDescent="0.3">
      <c r="A388" s="783" t="s">
        <v>241</v>
      </c>
      <c r="B388" s="1795" t="s">
        <v>233</v>
      </c>
      <c r="C388" s="784">
        <v>0</v>
      </c>
      <c r="D388" s="784">
        <v>-1</v>
      </c>
      <c r="E388" s="784">
        <v>-100</v>
      </c>
      <c r="F388" s="784">
        <v>0</v>
      </c>
    </row>
    <row r="389" spans="1:6" x14ac:dyDescent="0.3">
      <c r="A389" s="785" t="s">
        <v>241</v>
      </c>
      <c r="B389" s="1795" t="s">
        <v>234</v>
      </c>
      <c r="C389" s="786">
        <v>53</v>
      </c>
      <c r="D389" s="786">
        <v>32</v>
      </c>
      <c r="E389" s="786">
        <v>152.38095238095201</v>
      </c>
      <c r="F389" s="786">
        <v>0.50228839750762599</v>
      </c>
    </row>
    <row r="390" spans="1:6" x14ac:dyDescent="0.3">
      <c r="A390" s="787" t="s">
        <v>241</v>
      </c>
      <c r="B390" s="1795" t="s">
        <v>31</v>
      </c>
      <c r="C390" s="788">
        <v>10</v>
      </c>
      <c r="D390" s="788">
        <v>2</v>
      </c>
      <c r="E390" s="788">
        <v>25</v>
      </c>
      <c r="F390" s="788">
        <v>9.4771395756155896E-2</v>
      </c>
    </row>
    <row r="391" spans="1:6" x14ac:dyDescent="0.3">
      <c r="A391" s="789" t="s">
        <v>241</v>
      </c>
      <c r="B391" s="1795" t="s">
        <v>32</v>
      </c>
      <c r="C391" s="790">
        <v>3</v>
      </c>
      <c r="D391" s="790">
        <v>0</v>
      </c>
      <c r="E391" s="790">
        <v>0</v>
      </c>
      <c r="F391" s="790">
        <v>2.8431418726846801E-2</v>
      </c>
    </row>
    <row r="392" spans="1:6" x14ac:dyDescent="0.3">
      <c r="A392" s="791" t="s">
        <v>241</v>
      </c>
      <c r="B392" s="1795" t="s">
        <v>247</v>
      </c>
      <c r="C392" s="792">
        <v>0</v>
      </c>
      <c r="D392" s="792">
        <v>0</v>
      </c>
      <c r="E392" s="792" t="s">
        <v>38</v>
      </c>
      <c r="F392" s="792">
        <v>0</v>
      </c>
    </row>
    <row r="393" spans="1:6" x14ac:dyDescent="0.3">
      <c r="A393" s="793" t="s">
        <v>241</v>
      </c>
      <c r="B393" s="1795" t="s">
        <v>34</v>
      </c>
      <c r="C393" s="794">
        <v>6</v>
      </c>
      <c r="D393" s="794">
        <v>3</v>
      </c>
      <c r="E393" s="794">
        <v>100</v>
      </c>
      <c r="F393" s="794">
        <v>5.6862837453693499E-2</v>
      </c>
    </row>
    <row r="394" spans="1:6" x14ac:dyDescent="0.3">
      <c r="A394" s="795" t="s">
        <v>241</v>
      </c>
      <c r="B394" s="1795" t="s">
        <v>236</v>
      </c>
      <c r="C394" s="796">
        <v>0</v>
      </c>
      <c r="D394" s="796">
        <v>0</v>
      </c>
      <c r="E394" s="796" t="s">
        <v>38</v>
      </c>
      <c r="F394" s="796">
        <v>0</v>
      </c>
    </row>
    <row r="395" spans="1:6" x14ac:dyDescent="0.3">
      <c r="A395" s="797" t="s">
        <v>241</v>
      </c>
      <c r="B395" s="1795" t="s">
        <v>237</v>
      </c>
      <c r="C395" s="798">
        <v>6</v>
      </c>
      <c r="D395" s="798">
        <v>3</v>
      </c>
      <c r="E395" s="798">
        <v>100</v>
      </c>
      <c r="F395" s="798">
        <v>5.6862837453693499E-2</v>
      </c>
    </row>
    <row r="396" spans="1:6" x14ac:dyDescent="0.3">
      <c r="A396" s="799" t="s">
        <v>241</v>
      </c>
      <c r="B396" s="1795" t="s">
        <v>35</v>
      </c>
      <c r="C396" s="800">
        <v>1</v>
      </c>
      <c r="D396" s="800">
        <v>-1</v>
      </c>
      <c r="E396" s="800">
        <v>-50</v>
      </c>
      <c r="F396" s="800">
        <v>9.4771395756155907E-3</v>
      </c>
    </row>
    <row r="397" spans="1:6" x14ac:dyDescent="0.3">
      <c r="A397" s="801" t="s">
        <v>241</v>
      </c>
      <c r="B397" s="1795" t="s">
        <v>239</v>
      </c>
      <c r="C397" s="802">
        <v>0</v>
      </c>
      <c r="D397" s="802">
        <v>-1</v>
      </c>
      <c r="E397" s="802">
        <v>-100</v>
      </c>
      <c r="F397" s="802">
        <v>0</v>
      </c>
    </row>
    <row r="398" spans="1:6" x14ac:dyDescent="0.3">
      <c r="A398" s="803" t="s">
        <v>241</v>
      </c>
      <c r="B398" s="1795" t="s">
        <v>240</v>
      </c>
      <c r="C398" s="804">
        <v>1</v>
      </c>
      <c r="D398" s="804">
        <v>0</v>
      </c>
      <c r="E398" s="804">
        <v>0</v>
      </c>
      <c r="F398" s="804">
        <v>9.4771395756155907E-3</v>
      </c>
    </row>
    <row r="399" spans="1:6" x14ac:dyDescent="0.3">
      <c r="A399" s="805" t="s">
        <v>248</v>
      </c>
      <c r="B399" s="1795" t="s">
        <v>249</v>
      </c>
      <c r="C399" s="806">
        <v>351</v>
      </c>
      <c r="D399" s="806">
        <v>13</v>
      </c>
      <c r="E399" s="806">
        <v>3.8461538461538498</v>
      </c>
      <c r="F399" s="806">
        <v>3.3264759910410699</v>
      </c>
    </row>
    <row r="400" spans="1:6" x14ac:dyDescent="0.3">
      <c r="A400" s="807" t="s">
        <v>248</v>
      </c>
      <c r="B400" s="1795" t="s">
        <v>72</v>
      </c>
      <c r="C400" s="808">
        <v>77</v>
      </c>
      <c r="D400" s="808">
        <v>0</v>
      </c>
      <c r="E400" s="808">
        <v>0</v>
      </c>
      <c r="F400" s="808">
        <v>0.72973974732239999</v>
      </c>
    </row>
    <row r="401" spans="1:6" x14ac:dyDescent="0.3">
      <c r="A401" s="809" t="s">
        <v>248</v>
      </c>
      <c r="B401" s="1795" t="s">
        <v>79</v>
      </c>
      <c r="C401" s="810">
        <v>10</v>
      </c>
      <c r="D401" s="810">
        <v>1</v>
      </c>
      <c r="E401" s="810">
        <v>11.1111111111111</v>
      </c>
      <c r="F401" s="810">
        <v>9.4771395756155896E-2</v>
      </c>
    </row>
    <row r="402" spans="1:6" x14ac:dyDescent="0.3">
      <c r="A402" s="811" t="s">
        <v>248</v>
      </c>
      <c r="B402" s="1795" t="s">
        <v>26</v>
      </c>
      <c r="C402" s="812">
        <v>237</v>
      </c>
      <c r="D402" s="812">
        <v>22</v>
      </c>
      <c r="E402" s="812">
        <v>10.2325581395349</v>
      </c>
      <c r="F402" s="812">
        <v>2.2460820794208902</v>
      </c>
    </row>
    <row r="403" spans="1:6" x14ac:dyDescent="0.3">
      <c r="A403" s="813" t="s">
        <v>248</v>
      </c>
      <c r="B403" s="1795" t="s">
        <v>27</v>
      </c>
      <c r="C403" s="814">
        <v>69</v>
      </c>
      <c r="D403" s="814">
        <v>19</v>
      </c>
      <c r="E403" s="814">
        <v>38</v>
      </c>
      <c r="F403" s="814">
        <v>0.65392263071747503</v>
      </c>
    </row>
    <row r="404" spans="1:6" x14ac:dyDescent="0.3">
      <c r="A404" s="815" t="s">
        <v>248</v>
      </c>
      <c r="B404" s="1795" t="s">
        <v>28</v>
      </c>
      <c r="C404" s="816">
        <v>9</v>
      </c>
      <c r="D404" s="816">
        <v>-4</v>
      </c>
      <c r="E404" s="816">
        <v>-30.769230769230798</v>
      </c>
      <c r="F404" s="816">
        <v>8.5294256180540304E-2</v>
      </c>
    </row>
    <row r="405" spans="1:6" x14ac:dyDescent="0.3">
      <c r="A405" s="817" t="s">
        <v>248</v>
      </c>
      <c r="B405" s="1795" t="s">
        <v>29</v>
      </c>
      <c r="C405" s="818">
        <v>97</v>
      </c>
      <c r="D405" s="818">
        <v>5</v>
      </c>
      <c r="E405" s="818">
        <v>5.4347826086956497</v>
      </c>
      <c r="F405" s="818">
        <v>0.919282538834712</v>
      </c>
    </row>
    <row r="406" spans="1:6" x14ac:dyDescent="0.3">
      <c r="A406" s="819" t="s">
        <v>248</v>
      </c>
      <c r="B406" s="1795" t="s">
        <v>30</v>
      </c>
      <c r="C406" s="820">
        <v>62</v>
      </c>
      <c r="D406" s="820">
        <v>2</v>
      </c>
      <c r="E406" s="820">
        <v>3.3333333333333299</v>
      </c>
      <c r="F406" s="820">
        <v>0.58758265368816598</v>
      </c>
    </row>
    <row r="407" spans="1:6" x14ac:dyDescent="0.3">
      <c r="A407" s="821" t="s">
        <v>248</v>
      </c>
      <c r="B407" s="1795" t="s">
        <v>31</v>
      </c>
      <c r="C407" s="822">
        <v>27</v>
      </c>
      <c r="D407" s="822">
        <v>-10</v>
      </c>
      <c r="E407" s="822">
        <v>-27.027027027027</v>
      </c>
      <c r="F407" s="822">
        <v>0.25588276854162101</v>
      </c>
    </row>
    <row r="408" spans="1:6" x14ac:dyDescent="0.3">
      <c r="A408" s="823" t="s">
        <v>248</v>
      </c>
      <c r="B408" s="1795" t="s">
        <v>32</v>
      </c>
      <c r="C408" s="824">
        <v>3</v>
      </c>
      <c r="D408" s="824">
        <v>-1</v>
      </c>
      <c r="E408" s="824">
        <v>-25</v>
      </c>
      <c r="F408" s="824">
        <v>2.8431418726846801E-2</v>
      </c>
    </row>
    <row r="409" spans="1:6" x14ac:dyDescent="0.3">
      <c r="A409" s="825" t="s">
        <v>248</v>
      </c>
      <c r="B409" s="1795" t="s">
        <v>33</v>
      </c>
      <c r="C409" s="826">
        <v>1</v>
      </c>
      <c r="D409" s="826">
        <v>0</v>
      </c>
      <c r="E409" s="826">
        <v>0</v>
      </c>
      <c r="F409" s="826">
        <v>9.4771395756155907E-3</v>
      </c>
    </row>
    <row r="410" spans="1:6" x14ac:dyDescent="0.3">
      <c r="A410" s="827" t="s">
        <v>248</v>
      </c>
      <c r="B410" s="1795" t="s">
        <v>34</v>
      </c>
      <c r="C410" s="828">
        <v>11</v>
      </c>
      <c r="D410" s="828">
        <v>-5</v>
      </c>
      <c r="E410" s="828">
        <v>-31.25</v>
      </c>
      <c r="F410" s="828">
        <v>0.104248535331771</v>
      </c>
    </row>
    <row r="411" spans="1:6" x14ac:dyDescent="0.3">
      <c r="A411" s="829" t="s">
        <v>248</v>
      </c>
      <c r="B411" s="1795" t="s">
        <v>35</v>
      </c>
      <c r="C411" s="830">
        <v>12</v>
      </c>
      <c r="D411" s="830">
        <v>-4</v>
      </c>
      <c r="E411" s="830">
        <v>-25</v>
      </c>
      <c r="F411" s="830">
        <v>0.113725674907387</v>
      </c>
    </row>
    <row r="412" spans="1:6" x14ac:dyDescent="0.3">
      <c r="A412" s="831" t="s">
        <v>250</v>
      </c>
      <c r="B412" s="1795" t="s">
        <v>251</v>
      </c>
      <c r="C412" s="832">
        <v>12</v>
      </c>
      <c r="D412" s="832">
        <v>-1</v>
      </c>
      <c r="E412" s="832">
        <v>-7.6923076923076898</v>
      </c>
      <c r="F412" s="832">
        <v>0.113725674907387</v>
      </c>
    </row>
    <row r="413" spans="1:6" x14ac:dyDescent="0.3">
      <c r="A413" s="833" t="s">
        <v>250</v>
      </c>
      <c r="B413" s="1795" t="s">
        <v>72</v>
      </c>
      <c r="C413" s="834">
        <v>3</v>
      </c>
      <c r="D413" s="834">
        <v>3</v>
      </c>
      <c r="E413" s="834" t="s">
        <v>38</v>
      </c>
      <c r="F413" s="834">
        <v>2.8431418726846801E-2</v>
      </c>
    </row>
    <row r="414" spans="1:6" x14ac:dyDescent="0.3">
      <c r="A414" s="835" t="s">
        <v>250</v>
      </c>
      <c r="B414" s="1795" t="s">
        <v>79</v>
      </c>
      <c r="C414" s="836">
        <v>0</v>
      </c>
      <c r="D414" s="836">
        <v>-1</v>
      </c>
      <c r="E414" s="836">
        <v>-100</v>
      </c>
      <c r="F414" s="836">
        <v>0</v>
      </c>
    </row>
    <row r="415" spans="1:6" x14ac:dyDescent="0.3">
      <c r="A415" s="837" t="s">
        <v>250</v>
      </c>
      <c r="B415" s="1795" t="s">
        <v>26</v>
      </c>
      <c r="C415" s="838">
        <v>6</v>
      </c>
      <c r="D415" s="838">
        <v>-4</v>
      </c>
      <c r="E415" s="838">
        <v>-40</v>
      </c>
      <c r="F415" s="838">
        <v>5.6862837453693499E-2</v>
      </c>
    </row>
    <row r="416" spans="1:6" x14ac:dyDescent="0.3">
      <c r="A416" s="839" t="s">
        <v>250</v>
      </c>
      <c r="B416" s="1795" t="s">
        <v>252</v>
      </c>
      <c r="C416" s="840">
        <v>2</v>
      </c>
      <c r="D416" s="840">
        <v>0</v>
      </c>
      <c r="E416" s="840">
        <v>0</v>
      </c>
      <c r="F416" s="840">
        <v>1.8954279151231199E-2</v>
      </c>
    </row>
    <row r="417" spans="1:6" x14ac:dyDescent="0.3">
      <c r="A417" s="841" t="s">
        <v>250</v>
      </c>
      <c r="B417" s="1795" t="s">
        <v>28</v>
      </c>
      <c r="C417" s="842">
        <v>1</v>
      </c>
      <c r="D417" s="842">
        <v>1</v>
      </c>
      <c r="E417" s="842" t="s">
        <v>38</v>
      </c>
      <c r="F417" s="842">
        <v>9.4771395756155907E-3</v>
      </c>
    </row>
    <row r="418" spans="1:6" x14ac:dyDescent="0.3">
      <c r="A418" s="843" t="s">
        <v>250</v>
      </c>
      <c r="B418" s="1795" t="s">
        <v>29</v>
      </c>
      <c r="C418" s="844">
        <v>1</v>
      </c>
      <c r="D418" s="844">
        <v>-4</v>
      </c>
      <c r="E418" s="844">
        <v>-80</v>
      </c>
      <c r="F418" s="844">
        <v>9.4771395756155907E-3</v>
      </c>
    </row>
    <row r="419" spans="1:6" x14ac:dyDescent="0.3">
      <c r="A419" s="845" t="s">
        <v>250</v>
      </c>
      <c r="B419" s="1795" t="s">
        <v>30</v>
      </c>
      <c r="C419" s="846">
        <v>2</v>
      </c>
      <c r="D419" s="846">
        <v>-1</v>
      </c>
      <c r="E419" s="846">
        <v>-33.3333333333333</v>
      </c>
      <c r="F419" s="846">
        <v>1.8954279151231199E-2</v>
      </c>
    </row>
    <row r="420" spans="1:6" x14ac:dyDescent="0.3">
      <c r="A420" s="847" t="s">
        <v>250</v>
      </c>
      <c r="B420" s="1795" t="s">
        <v>31</v>
      </c>
      <c r="C420" s="848">
        <v>3</v>
      </c>
      <c r="D420" s="848">
        <v>1</v>
      </c>
      <c r="E420" s="848">
        <v>50</v>
      </c>
      <c r="F420" s="848">
        <v>2.8431418726846801E-2</v>
      </c>
    </row>
    <row r="421" spans="1:6" x14ac:dyDescent="0.3">
      <c r="A421" s="849" t="s">
        <v>250</v>
      </c>
      <c r="B421" s="1795" t="s">
        <v>32</v>
      </c>
      <c r="C421" s="850">
        <v>0</v>
      </c>
      <c r="D421" s="850">
        <v>-1</v>
      </c>
      <c r="E421" s="850">
        <v>-100</v>
      </c>
      <c r="F421" s="850">
        <v>0</v>
      </c>
    </row>
    <row r="422" spans="1:6" x14ac:dyDescent="0.3">
      <c r="A422" s="851" t="s">
        <v>250</v>
      </c>
      <c r="B422" s="1795" t="s">
        <v>33</v>
      </c>
      <c r="C422" s="852">
        <v>0</v>
      </c>
      <c r="D422" s="852">
        <v>0</v>
      </c>
      <c r="E422" s="852" t="s">
        <v>38</v>
      </c>
      <c r="F422" s="852">
        <v>0</v>
      </c>
    </row>
    <row r="423" spans="1:6" x14ac:dyDescent="0.3">
      <c r="A423" s="853" t="s">
        <v>250</v>
      </c>
      <c r="B423" s="1795" t="s">
        <v>34</v>
      </c>
      <c r="C423" s="854">
        <v>2</v>
      </c>
      <c r="D423" s="854">
        <v>1</v>
      </c>
      <c r="E423" s="854">
        <v>100</v>
      </c>
      <c r="F423" s="854">
        <v>1.8954279151231199E-2</v>
      </c>
    </row>
    <row r="424" spans="1:6" x14ac:dyDescent="0.3">
      <c r="A424" s="855" t="s">
        <v>250</v>
      </c>
      <c r="B424" s="1795" t="s">
        <v>35</v>
      </c>
      <c r="C424" s="856">
        <v>1</v>
      </c>
      <c r="D424" s="856">
        <v>1</v>
      </c>
      <c r="E424" s="856" t="s">
        <v>38</v>
      </c>
      <c r="F424" s="856">
        <v>9.4771395756155907E-3</v>
      </c>
    </row>
    <row r="425" spans="1:6" x14ac:dyDescent="0.3">
      <c r="A425" s="857" t="s">
        <v>253</v>
      </c>
      <c r="B425" s="1795" t="s">
        <v>254</v>
      </c>
      <c r="C425" s="858">
        <v>124</v>
      </c>
      <c r="D425" s="858">
        <v>15</v>
      </c>
      <c r="E425" s="858">
        <v>13.7614678899083</v>
      </c>
      <c r="F425" s="858">
        <v>1.17516530737633</v>
      </c>
    </row>
    <row r="426" spans="1:6" x14ac:dyDescent="0.3">
      <c r="A426" s="859" t="s">
        <v>253</v>
      </c>
      <c r="B426" s="1795" t="s">
        <v>255</v>
      </c>
      <c r="C426" s="860">
        <v>89</v>
      </c>
      <c r="D426" s="860">
        <v>14</v>
      </c>
      <c r="E426" s="860">
        <v>18.6666666666667</v>
      </c>
      <c r="F426" s="860">
        <v>0.84346542222978704</v>
      </c>
    </row>
    <row r="427" spans="1:6" x14ac:dyDescent="0.3">
      <c r="A427" s="861" t="s">
        <v>253</v>
      </c>
      <c r="B427" s="1795" t="s">
        <v>256</v>
      </c>
      <c r="C427" s="862">
        <v>21</v>
      </c>
      <c r="D427" s="862">
        <v>-1</v>
      </c>
      <c r="E427" s="862">
        <v>-4.5454545454545503</v>
      </c>
      <c r="F427" s="862">
        <v>0.19901993108792701</v>
      </c>
    </row>
    <row r="428" spans="1:6" x14ac:dyDescent="0.3">
      <c r="A428" s="863" t="s">
        <v>253</v>
      </c>
      <c r="B428" s="1795" t="s">
        <v>257</v>
      </c>
      <c r="C428" s="864">
        <v>8</v>
      </c>
      <c r="D428" s="864">
        <v>-3</v>
      </c>
      <c r="E428" s="864">
        <v>-27.272727272727298</v>
      </c>
      <c r="F428" s="864">
        <v>7.5817116604924698E-2</v>
      </c>
    </row>
    <row r="429" spans="1:6" x14ac:dyDescent="0.3">
      <c r="A429" s="865" t="s">
        <v>253</v>
      </c>
      <c r="B429" s="1795" t="s">
        <v>258</v>
      </c>
      <c r="C429" s="866">
        <v>6</v>
      </c>
      <c r="D429" s="866">
        <v>5</v>
      </c>
      <c r="E429" s="866">
        <v>500</v>
      </c>
      <c r="F429" s="866">
        <v>5.6862837453693499E-2</v>
      </c>
    </row>
    <row r="430" spans="1:6" x14ac:dyDescent="0.3">
      <c r="A430" s="867" t="s">
        <v>259</v>
      </c>
      <c r="B430" s="1795" t="s">
        <v>260</v>
      </c>
      <c r="C430" s="868">
        <v>869</v>
      </c>
      <c r="D430" s="868">
        <v>55</v>
      </c>
      <c r="E430" s="868">
        <v>6.7567567567567597</v>
      </c>
      <c r="F430" s="868">
        <v>8.2356342912099407</v>
      </c>
    </row>
    <row r="431" spans="1:6" x14ac:dyDescent="0.3">
      <c r="A431" s="869" t="s">
        <v>259</v>
      </c>
      <c r="B431" s="1795" t="s">
        <v>261</v>
      </c>
      <c r="C431" s="870">
        <v>672</v>
      </c>
      <c r="D431" s="870">
        <v>77</v>
      </c>
      <c r="E431" s="870">
        <v>12.9411764705882</v>
      </c>
      <c r="F431" s="870">
        <v>6.3686377948136697</v>
      </c>
    </row>
    <row r="432" spans="1:6" x14ac:dyDescent="0.3">
      <c r="A432" s="871" t="s">
        <v>259</v>
      </c>
      <c r="B432" s="1795" t="s">
        <v>262</v>
      </c>
      <c r="C432" s="872">
        <v>168</v>
      </c>
      <c r="D432" s="872">
        <v>-28</v>
      </c>
      <c r="E432" s="872">
        <v>-14.285714285714301</v>
      </c>
      <c r="F432" s="872">
        <v>1.5921594487034201</v>
      </c>
    </row>
    <row r="433" spans="1:6" x14ac:dyDescent="0.3">
      <c r="A433" s="873" t="s">
        <v>259</v>
      </c>
      <c r="B433" s="1795" t="s">
        <v>72</v>
      </c>
      <c r="C433" s="874">
        <v>17</v>
      </c>
      <c r="D433" s="874">
        <v>-3</v>
      </c>
      <c r="E433" s="874">
        <v>-15</v>
      </c>
      <c r="F433" s="874">
        <v>0.161111372785465</v>
      </c>
    </row>
    <row r="434" spans="1:6" x14ac:dyDescent="0.3">
      <c r="A434" s="875" t="s">
        <v>259</v>
      </c>
      <c r="B434" s="1795" t="s">
        <v>79</v>
      </c>
      <c r="C434" s="876">
        <v>12</v>
      </c>
      <c r="D434" s="876">
        <v>9</v>
      </c>
      <c r="E434" s="876">
        <v>300</v>
      </c>
      <c r="F434" s="876">
        <v>0.113725674907387</v>
      </c>
    </row>
    <row r="435" spans="1:6" x14ac:dyDescent="0.3">
      <c r="A435" s="877" t="s">
        <v>263</v>
      </c>
      <c r="B435" s="1795" t="s">
        <v>264</v>
      </c>
      <c r="C435" s="878">
        <v>5</v>
      </c>
      <c r="D435" s="878">
        <v>1</v>
      </c>
      <c r="E435" s="878">
        <v>25</v>
      </c>
      <c r="F435" s="878">
        <v>4.73856978780779E-2</v>
      </c>
    </row>
    <row r="436" spans="1:6" x14ac:dyDescent="0.3">
      <c r="A436" s="879" t="s">
        <v>263</v>
      </c>
      <c r="B436" s="1795" t="s">
        <v>265</v>
      </c>
      <c r="C436" s="880">
        <v>1</v>
      </c>
      <c r="D436" s="880">
        <v>0</v>
      </c>
      <c r="E436" s="880">
        <v>0</v>
      </c>
      <c r="F436" s="880">
        <v>9.4771395756155907E-3</v>
      </c>
    </row>
    <row r="437" spans="1:6" x14ac:dyDescent="0.3">
      <c r="A437" s="881" t="s">
        <v>263</v>
      </c>
      <c r="B437" s="1795" t="s">
        <v>266</v>
      </c>
      <c r="C437" s="882">
        <v>0</v>
      </c>
      <c r="D437" s="882">
        <v>0</v>
      </c>
      <c r="E437" s="882" t="s">
        <v>38</v>
      </c>
      <c r="F437" s="882">
        <v>0</v>
      </c>
    </row>
    <row r="438" spans="1:6" x14ac:dyDescent="0.3">
      <c r="A438" s="883" t="s">
        <v>263</v>
      </c>
      <c r="B438" s="1795" t="s">
        <v>267</v>
      </c>
      <c r="C438" s="884">
        <v>3</v>
      </c>
      <c r="D438" s="884">
        <v>1</v>
      </c>
      <c r="E438" s="884">
        <v>50</v>
      </c>
      <c r="F438" s="884">
        <v>2.8431418726846801E-2</v>
      </c>
    </row>
    <row r="439" spans="1:6" x14ac:dyDescent="0.3">
      <c r="A439" s="885" t="s">
        <v>263</v>
      </c>
      <c r="B439" s="1795" t="s">
        <v>268</v>
      </c>
      <c r="C439" s="886">
        <v>1</v>
      </c>
      <c r="D439" s="886">
        <v>0</v>
      </c>
      <c r="E439" s="886">
        <v>0</v>
      </c>
      <c r="F439" s="886">
        <v>9.4771395756155907E-3</v>
      </c>
    </row>
    <row r="440" spans="1:6" x14ac:dyDescent="0.3">
      <c r="A440" s="887" t="s">
        <v>269</v>
      </c>
      <c r="B440" s="1795" t="s">
        <v>270</v>
      </c>
      <c r="C440" s="888">
        <v>1775</v>
      </c>
      <c r="D440" s="888">
        <v>5</v>
      </c>
      <c r="E440" s="888">
        <v>0.28248587570621497</v>
      </c>
      <c r="F440" s="888">
        <v>16.8219227467177</v>
      </c>
    </row>
    <row r="441" spans="1:6" x14ac:dyDescent="0.3">
      <c r="A441" s="889" t="s">
        <v>271</v>
      </c>
      <c r="B441" s="1795" t="s">
        <v>272</v>
      </c>
      <c r="C441" s="890">
        <v>121</v>
      </c>
      <c r="D441" s="890">
        <v>20</v>
      </c>
      <c r="E441" s="890">
        <v>19.801980198019798</v>
      </c>
      <c r="F441" s="890">
        <v>1.14673388864949</v>
      </c>
    </row>
    <row r="442" spans="1:6" x14ac:dyDescent="0.3">
      <c r="A442" s="891" t="s">
        <v>273</v>
      </c>
      <c r="B442" s="1795" t="s">
        <v>274</v>
      </c>
      <c r="C442" s="892">
        <v>9984</v>
      </c>
      <c r="D442" s="892">
        <v>531</v>
      </c>
      <c r="E442" s="892">
        <v>5.61726436052047</v>
      </c>
      <c r="F442" s="892">
        <v>94.619761522946007</v>
      </c>
    </row>
    <row r="443" spans="1:6" x14ac:dyDescent="0.3">
      <c r="A443" s="893" t="s">
        <v>273</v>
      </c>
      <c r="B443" s="1795" t="s">
        <v>275</v>
      </c>
      <c r="C443" s="894">
        <v>3129</v>
      </c>
      <c r="D443" s="894">
        <v>218</v>
      </c>
      <c r="E443" s="894">
        <v>7.4888354517347997</v>
      </c>
      <c r="F443" s="894">
        <v>29.653969732101199</v>
      </c>
    </row>
    <row r="444" spans="1:6" x14ac:dyDescent="0.3">
      <c r="A444" s="895" t="s">
        <v>273</v>
      </c>
      <c r="B444" s="1795" t="s">
        <v>276</v>
      </c>
      <c r="C444" s="896">
        <v>2591</v>
      </c>
      <c r="D444" s="896">
        <v>147</v>
      </c>
      <c r="E444" s="896">
        <v>6.0147299509001604</v>
      </c>
      <c r="F444" s="896">
        <v>24.55526864042</v>
      </c>
    </row>
    <row r="445" spans="1:6" x14ac:dyDescent="0.3">
      <c r="A445" s="897" t="s">
        <v>273</v>
      </c>
      <c r="B445" s="1795" t="s">
        <v>277</v>
      </c>
      <c r="C445" s="898">
        <v>538</v>
      </c>
      <c r="D445" s="898">
        <v>71</v>
      </c>
      <c r="E445" s="898">
        <v>15.203426124197</v>
      </c>
      <c r="F445" s="898">
        <v>5.0987010916811801</v>
      </c>
    </row>
    <row r="446" spans="1:6" x14ac:dyDescent="0.3">
      <c r="A446" s="899" t="s">
        <v>273</v>
      </c>
      <c r="B446" s="1795" t="s">
        <v>278</v>
      </c>
      <c r="C446" s="900">
        <v>1334</v>
      </c>
      <c r="D446" s="900">
        <v>135</v>
      </c>
      <c r="E446" s="900">
        <v>11.2593828190158</v>
      </c>
      <c r="F446" s="900">
        <v>12.642504193871201</v>
      </c>
    </row>
    <row r="447" spans="1:6" x14ac:dyDescent="0.3">
      <c r="A447" s="901" t="s">
        <v>273</v>
      </c>
      <c r="B447" s="1795" t="s">
        <v>279</v>
      </c>
      <c r="C447" s="902">
        <v>1168</v>
      </c>
      <c r="D447" s="902">
        <v>88</v>
      </c>
      <c r="E447" s="902">
        <v>8.1481481481481506</v>
      </c>
      <c r="F447" s="902">
        <v>11.069299024318999</v>
      </c>
    </row>
    <row r="448" spans="1:6" x14ac:dyDescent="0.3">
      <c r="A448" s="903" t="s">
        <v>273</v>
      </c>
      <c r="B448" s="1795" t="s">
        <v>280</v>
      </c>
      <c r="C448" s="904">
        <v>166</v>
      </c>
      <c r="D448" s="904">
        <v>47</v>
      </c>
      <c r="E448" s="904">
        <v>39.495798319327697</v>
      </c>
      <c r="F448" s="904">
        <v>1.57320516955219</v>
      </c>
    </row>
    <row r="449" spans="1:6" x14ac:dyDescent="0.3">
      <c r="A449" s="905" t="s">
        <v>273</v>
      </c>
      <c r="B449" s="1795" t="s">
        <v>281</v>
      </c>
      <c r="C449" s="906">
        <v>5521</v>
      </c>
      <c r="D449" s="906">
        <v>352</v>
      </c>
      <c r="E449" s="906">
        <v>6.8098278196943296</v>
      </c>
      <c r="F449" s="906">
        <v>52.3232875969736</v>
      </c>
    </row>
    <row r="450" spans="1:6" x14ac:dyDescent="0.3">
      <c r="A450" s="907" t="s">
        <v>273</v>
      </c>
      <c r="B450" s="1795" t="s">
        <v>282</v>
      </c>
      <c r="C450" s="908">
        <v>4935</v>
      </c>
      <c r="D450" s="908">
        <v>322</v>
      </c>
      <c r="E450" s="908">
        <v>6.9802731411229102</v>
      </c>
      <c r="F450" s="908">
        <v>46.769683805662901</v>
      </c>
    </row>
    <row r="451" spans="1:6" x14ac:dyDescent="0.3">
      <c r="A451" s="909" t="s">
        <v>273</v>
      </c>
      <c r="B451" s="1795" t="s">
        <v>283</v>
      </c>
      <c r="C451" s="910">
        <v>357</v>
      </c>
      <c r="D451" s="910">
        <v>56</v>
      </c>
      <c r="E451" s="910">
        <v>18.604651162790699</v>
      </c>
      <c r="F451" s="910">
        <v>3.3833388284947601</v>
      </c>
    </row>
    <row r="452" spans="1:6" x14ac:dyDescent="0.3">
      <c r="A452" s="911" t="s">
        <v>273</v>
      </c>
      <c r="B452" s="1795" t="s">
        <v>910</v>
      </c>
      <c r="C452" s="912">
        <v>121</v>
      </c>
      <c r="D452" s="912">
        <v>41</v>
      </c>
      <c r="E452" s="912">
        <v>51.25</v>
      </c>
      <c r="F452" s="912">
        <v>1.14673388864949</v>
      </c>
    </row>
    <row r="453" spans="1:6" x14ac:dyDescent="0.3">
      <c r="A453" s="913" t="s">
        <v>273</v>
      </c>
      <c r="B453" s="1795" t="s">
        <v>911</v>
      </c>
      <c r="C453" s="914">
        <v>1412</v>
      </c>
      <c r="D453" s="914">
        <v>123</v>
      </c>
      <c r="E453" s="914">
        <v>9.5422808378588009</v>
      </c>
      <c r="F453" s="914">
        <v>13.3817210807692</v>
      </c>
    </row>
    <row r="454" spans="1:6" x14ac:dyDescent="0.3">
      <c r="A454" s="915" t="s">
        <v>273</v>
      </c>
      <c r="B454" s="1795" t="s">
        <v>284</v>
      </c>
      <c r="C454" s="916">
        <v>3045</v>
      </c>
      <c r="D454" s="916">
        <v>102</v>
      </c>
      <c r="E454" s="916">
        <v>3.4658511722731902</v>
      </c>
      <c r="F454" s="916">
        <v>28.8578900077495</v>
      </c>
    </row>
    <row r="455" spans="1:6" x14ac:dyDescent="0.3">
      <c r="A455" s="917" t="s">
        <v>273</v>
      </c>
      <c r="B455" s="1795" t="s">
        <v>285</v>
      </c>
      <c r="C455" s="918">
        <v>586</v>
      </c>
      <c r="D455" s="918">
        <v>30</v>
      </c>
      <c r="E455" s="918">
        <v>5.3956834532374103</v>
      </c>
      <c r="F455" s="918">
        <v>5.5536037913107297</v>
      </c>
    </row>
    <row r="456" spans="1:6" x14ac:dyDescent="0.3">
      <c r="A456" s="919" t="s">
        <v>273</v>
      </c>
      <c r="B456" s="1795" t="s">
        <v>286</v>
      </c>
      <c r="C456" s="920">
        <v>19</v>
      </c>
      <c r="D456" s="920">
        <v>-2</v>
      </c>
      <c r="E456" s="920">
        <v>-9.5238095238095202</v>
      </c>
      <c r="F456" s="920">
        <v>0.18006565193669599</v>
      </c>
    </row>
    <row r="457" spans="1:6" x14ac:dyDescent="0.3">
      <c r="A457" s="921" t="s">
        <v>273</v>
      </c>
      <c r="B457" s="1795" t="s">
        <v>287</v>
      </c>
      <c r="C457" s="922">
        <v>11</v>
      </c>
      <c r="D457" s="922">
        <v>-5</v>
      </c>
      <c r="E457" s="922">
        <v>-31.25</v>
      </c>
      <c r="F457" s="922">
        <v>0.104248535331771</v>
      </c>
    </row>
    <row r="458" spans="1:6" x14ac:dyDescent="0.3">
      <c r="A458" s="923" t="s">
        <v>273</v>
      </c>
      <c r="B458" s="1795" t="s">
        <v>912</v>
      </c>
      <c r="C458" s="924">
        <v>183</v>
      </c>
      <c r="D458" s="924">
        <v>29</v>
      </c>
      <c r="E458" s="924">
        <v>18.831168831168799</v>
      </c>
      <c r="F458" s="924">
        <v>1.7343165423376501</v>
      </c>
    </row>
    <row r="459" spans="1:6" x14ac:dyDescent="0.3">
      <c r="A459" s="925" t="s">
        <v>273</v>
      </c>
      <c r="B459" s="1795" t="s">
        <v>288</v>
      </c>
      <c r="C459" s="926">
        <v>373</v>
      </c>
      <c r="D459" s="926">
        <v>8</v>
      </c>
      <c r="E459" s="926">
        <v>2.1917808219178099</v>
      </c>
      <c r="F459" s="926">
        <v>3.5349730617046098</v>
      </c>
    </row>
    <row r="460" spans="1:6" x14ac:dyDescent="0.3">
      <c r="A460" s="927" t="s">
        <v>289</v>
      </c>
      <c r="B460" s="1795" t="s">
        <v>290</v>
      </c>
      <c r="C460" s="928">
        <v>224</v>
      </c>
      <c r="D460" s="928">
        <v>5</v>
      </c>
      <c r="E460" s="928">
        <v>2.2831050228310499</v>
      </c>
      <c r="F460" s="928">
        <v>2.12287926493789</v>
      </c>
    </row>
    <row r="461" spans="1:6" x14ac:dyDescent="0.3">
      <c r="A461" s="929" t="s">
        <v>289</v>
      </c>
      <c r="B461" s="1795" t="s">
        <v>291</v>
      </c>
      <c r="C461" s="930">
        <v>175</v>
      </c>
      <c r="D461" s="930">
        <v>-10</v>
      </c>
      <c r="E461" s="930">
        <v>-5.4054054054054097</v>
      </c>
      <c r="F461" s="930">
        <v>1.6584994257327299</v>
      </c>
    </row>
    <row r="462" spans="1:6" x14ac:dyDescent="0.3">
      <c r="A462" s="931" t="s">
        <v>289</v>
      </c>
      <c r="B462" s="1795" t="s">
        <v>292</v>
      </c>
      <c r="C462" s="932">
        <v>49</v>
      </c>
      <c r="D462" s="932">
        <v>15</v>
      </c>
      <c r="E462" s="932">
        <v>44.117647058823501</v>
      </c>
      <c r="F462" s="932">
        <v>0.46437983920516401</v>
      </c>
    </row>
    <row r="463" spans="1:6" x14ac:dyDescent="0.3">
      <c r="A463" s="933" t="s">
        <v>293</v>
      </c>
      <c r="B463" s="1795" t="s">
        <v>294</v>
      </c>
      <c r="C463" s="934">
        <v>1762</v>
      </c>
      <c r="D463" s="934">
        <v>285</v>
      </c>
      <c r="E463" s="934">
        <v>19.2958700067705</v>
      </c>
      <c r="F463" s="934">
        <v>16.698719932234699</v>
      </c>
    </row>
    <row r="464" spans="1:6" x14ac:dyDescent="0.3">
      <c r="A464" s="935" t="s">
        <v>295</v>
      </c>
      <c r="B464" s="1795" t="s">
        <v>296</v>
      </c>
      <c r="C464" s="936">
        <v>203</v>
      </c>
      <c r="D464" s="936">
        <v>1</v>
      </c>
      <c r="E464" s="936">
        <v>0.49504950495049499</v>
      </c>
      <c r="F464" s="936">
        <v>1.9238593338499601</v>
      </c>
    </row>
    <row r="465" spans="1:6" x14ac:dyDescent="0.3">
      <c r="A465" s="1753"/>
      <c r="B465" s="1794"/>
      <c r="C465" s="1754"/>
      <c r="D465" s="1754"/>
      <c r="E465" s="1754"/>
      <c r="F465" s="1754"/>
    </row>
    <row r="466" spans="1:6" x14ac:dyDescent="0.3">
      <c r="A466" s="1755" t="s">
        <v>858</v>
      </c>
      <c r="B466" s="1794" t="s">
        <v>858</v>
      </c>
      <c r="C466" s="1756">
        <v>2429</v>
      </c>
      <c r="D466" s="1756">
        <v>297</v>
      </c>
      <c r="E466" s="1756">
        <v>13.9305816135084</v>
      </c>
      <c r="F466" s="1756">
        <v>23.019972029170301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showGridLines="0" workbookViewId="0"/>
  </sheetViews>
  <sheetFormatPr defaultRowHeight="13.2" x14ac:dyDescent="0.25"/>
  <cols>
    <col min="1" max="1" width="100"/>
  </cols>
  <sheetData>
    <row r="1" spans="1:1" ht="18" x14ac:dyDescent="0.25">
      <c r="A1" s="1757" t="s">
        <v>867</v>
      </c>
    </row>
    <row r="2" spans="1:1" ht="13.8" x14ac:dyDescent="0.25">
      <c r="A2" s="1758" t="s">
        <v>868</v>
      </c>
    </row>
    <row r="3" spans="1:1" x14ac:dyDescent="0.25">
      <c r="A3" s="1759" t="s">
        <v>869</v>
      </c>
    </row>
    <row r="4" spans="1:1" ht="13.8" x14ac:dyDescent="0.25">
      <c r="A4" s="1760" t="s">
        <v>870</v>
      </c>
    </row>
    <row r="5" spans="1:1" ht="14.4" x14ac:dyDescent="0.25">
      <c r="A5" s="1761" t="s">
        <v>871</v>
      </c>
    </row>
    <row r="6" spans="1:1" x14ac:dyDescent="0.25">
      <c r="A6" s="1762" t="s">
        <v>872</v>
      </c>
    </row>
    <row r="7" spans="1:1" x14ac:dyDescent="0.25">
      <c r="A7" s="1763" t="s">
        <v>873</v>
      </c>
    </row>
    <row r="8" spans="1:1" x14ac:dyDescent="0.25">
      <c r="A8" s="1764" t="s">
        <v>874</v>
      </c>
    </row>
    <row r="9" spans="1:1" x14ac:dyDescent="0.25">
      <c r="A9" s="1765" t="s">
        <v>875</v>
      </c>
    </row>
    <row r="10" spans="1:1" x14ac:dyDescent="0.25">
      <c r="A10" s="1766" t="s">
        <v>876</v>
      </c>
    </row>
    <row r="11" spans="1:1" ht="14.4" x14ac:dyDescent="0.25">
      <c r="A11" s="1767" t="s">
        <v>877</v>
      </c>
    </row>
    <row r="12" spans="1:1" ht="60" x14ac:dyDescent="0.25">
      <c r="A12" s="1768" t="s">
        <v>878</v>
      </c>
    </row>
    <row r="13" spans="1:1" ht="84" x14ac:dyDescent="0.25">
      <c r="A13" s="1769" t="s">
        <v>879</v>
      </c>
    </row>
    <row r="14" spans="1:1" ht="36" x14ac:dyDescent="0.25">
      <c r="A14" s="1770" t="s">
        <v>880</v>
      </c>
    </row>
    <row r="15" spans="1:1" ht="36" x14ac:dyDescent="0.25">
      <c r="A15" s="1771" t="s">
        <v>881</v>
      </c>
    </row>
    <row r="16" spans="1:1" ht="14.4" x14ac:dyDescent="0.25">
      <c r="A16" s="1772" t="s">
        <v>882</v>
      </c>
    </row>
  </sheetData>
  <hyperlinks>
    <hyperlink ref="A16" r:id="rId1" xr:uid="{00000000-0004-0000-03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workbookViewId="0"/>
  </sheetViews>
  <sheetFormatPr defaultRowHeight="13.2" x14ac:dyDescent="0.25"/>
  <cols>
    <col min="1" max="1" width="100"/>
  </cols>
  <sheetData>
    <row r="1" spans="1:1" ht="18" x14ac:dyDescent="0.25">
      <c r="A1" s="1773" t="s">
        <v>883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showGridLines="0" workbookViewId="0"/>
  </sheetViews>
  <sheetFormatPr defaultRowHeight="13.2" x14ac:dyDescent="0.25"/>
  <cols>
    <col min="1" max="1" width="100"/>
  </cols>
  <sheetData>
    <row r="1" spans="1:1" ht="18" x14ac:dyDescent="0.25">
      <c r="A1" s="1774" t="s">
        <v>884</v>
      </c>
    </row>
    <row r="2" spans="1:1" ht="24" x14ac:dyDescent="0.25">
      <c r="A2" s="1775" t="s">
        <v>885</v>
      </c>
    </row>
    <row r="3" spans="1:1" ht="24" x14ac:dyDescent="0.25">
      <c r="A3" s="1776" t="s">
        <v>886</v>
      </c>
    </row>
    <row r="4" spans="1:1" ht="48" x14ac:dyDescent="0.25">
      <c r="A4" s="1777" t="s">
        <v>887</v>
      </c>
    </row>
    <row r="5" spans="1:1" ht="24" x14ac:dyDescent="0.25">
      <c r="A5" s="1778" t="s">
        <v>888</v>
      </c>
    </row>
    <row r="6" spans="1:1" ht="24" x14ac:dyDescent="0.25">
      <c r="A6" s="1779" t="s">
        <v>889</v>
      </c>
    </row>
    <row r="7" spans="1:1" x14ac:dyDescent="0.25">
      <c r="A7" s="1780" t="s">
        <v>890</v>
      </c>
    </row>
    <row r="8" spans="1:1" x14ac:dyDescent="0.25">
      <c r="A8" s="1781" t="s">
        <v>891</v>
      </c>
    </row>
    <row r="9" spans="1:1" x14ac:dyDescent="0.25">
      <c r="A9" s="1782" t="s">
        <v>892</v>
      </c>
    </row>
    <row r="10" spans="1:1" x14ac:dyDescent="0.25">
      <c r="A10" s="1783" t="s">
        <v>893</v>
      </c>
    </row>
    <row r="11" spans="1:1" x14ac:dyDescent="0.25">
      <c r="A11" s="1784" t="s">
        <v>894</v>
      </c>
    </row>
    <row r="12" spans="1:1" x14ac:dyDescent="0.25">
      <c r="A12" s="1785" t="s">
        <v>895</v>
      </c>
    </row>
    <row r="13" spans="1:1" x14ac:dyDescent="0.25">
      <c r="A13" s="1786" t="s">
        <v>896</v>
      </c>
    </row>
    <row r="14" spans="1:1" x14ac:dyDescent="0.25">
      <c r="A14" s="1787" t="s">
        <v>897</v>
      </c>
    </row>
    <row r="15" spans="1:1" x14ac:dyDescent="0.25">
      <c r="A15" s="1788" t="s">
        <v>898</v>
      </c>
    </row>
    <row r="16" spans="1:1" ht="24" x14ac:dyDescent="0.25">
      <c r="A16" s="1789" t="s">
        <v>899</v>
      </c>
    </row>
    <row r="17" spans="1:1" ht="24" x14ac:dyDescent="0.25">
      <c r="A17" s="1790" t="s">
        <v>899</v>
      </c>
    </row>
    <row r="18" spans="1:1" ht="24" x14ac:dyDescent="0.25">
      <c r="A18" s="1791" t="s">
        <v>900</v>
      </c>
    </row>
    <row r="19" spans="1:1" x14ac:dyDescent="0.25">
      <c r="A19" s="1792" t="s">
        <v>901</v>
      </c>
    </row>
    <row r="20" spans="1:1" x14ac:dyDescent="0.25">
      <c r="A20" s="1793" t="s">
        <v>902</v>
      </c>
    </row>
  </sheetData>
  <hyperlinks>
    <hyperlink ref="A20" r:id="rId1"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9</vt:i4>
      </vt:variant>
    </vt:vector>
  </HeadingPairs>
  <TitlesOfParts>
    <vt:vector size="9" baseType="lpstr">
      <vt:lpstr>Anmälda brott månad</vt:lpstr>
      <vt:lpstr>brott</vt:lpstr>
      <vt:lpstr>Blad3</vt:lpstr>
      <vt:lpstr>Blad1</vt:lpstr>
      <vt:lpstr>Blad2</vt:lpstr>
      <vt:lpstr>Senaste 12 månaderna</vt:lpstr>
      <vt:lpstr>Information</vt:lpstr>
      <vt:lpstr>Förändringar</vt:lpstr>
      <vt:lpstr>Förekomst av stora ärenden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Stina Söderman</dc:creator>
  <cp:lastModifiedBy>mikaela johnsson</cp:lastModifiedBy>
  <cp:lastPrinted>2012-02-03T13:06:55Z</cp:lastPrinted>
  <dcterms:created xsi:type="dcterms:W3CDTF">1998-05-11T12:03:26Z</dcterms:created>
  <dcterms:modified xsi:type="dcterms:W3CDTF">2026-01-22T07:48:03Z</dcterms:modified>
</cp:coreProperties>
</file>